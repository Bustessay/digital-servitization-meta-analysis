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fvendrel\Dropbox\Pirradas\Papers\Paper Rodrigo Metaanalisis\"/>
    </mc:Choice>
  </mc:AlternateContent>
  <xr:revisionPtr revIDLastSave="0" documentId="13_ncr:1_{673C5478-4232-4DD8-BD18-10B20ADC5133}"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4" sheetId="4" r:id="rId3"/>
    <sheet name="Huawei GCI"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71" i="1" l="1"/>
  <c r="AB72" i="1"/>
  <c r="AB73" i="1"/>
  <c r="AB74" i="1"/>
  <c r="AB75" i="1"/>
  <c r="AB76" i="1"/>
  <c r="AA71" i="1"/>
  <c r="AA72" i="1"/>
  <c r="AA73" i="1"/>
  <c r="AA74" i="1"/>
  <c r="AA75" i="1"/>
  <c r="AA76" i="1"/>
  <c r="AC76" i="1" s="1"/>
  <c r="G76" i="1"/>
  <c r="G75" i="1"/>
  <c r="G74" i="1"/>
  <c r="G73" i="1"/>
  <c r="G72" i="1"/>
  <c r="G7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2" i="1"/>
  <c r="D10" i="4"/>
  <c r="H6" i="3"/>
  <c r="H4" i="3"/>
  <c r="D61" i="4"/>
  <c r="D7" i="4"/>
  <c r="AC72" i="1" l="1"/>
  <c r="AC73" i="1"/>
  <c r="AC75" i="1"/>
  <c r="AC74" i="1"/>
  <c r="AC71" i="1"/>
</calcChain>
</file>

<file path=xl/sharedStrings.xml><?xml version="1.0" encoding="utf-8"?>
<sst xmlns="http://schemas.openxmlformats.org/spreadsheetml/2006/main" count="1531" uniqueCount="568">
  <si>
    <t>Obs</t>
  </si>
  <si>
    <t>No.</t>
  </si>
  <si>
    <t>Study</t>
  </si>
  <si>
    <t>Theoretical lens</t>
  </si>
  <si>
    <t>Region</t>
  </si>
  <si>
    <t>Industry</t>
  </si>
  <si>
    <t>Data</t>
  </si>
  <si>
    <t>Digitalization measurement</t>
  </si>
  <si>
    <t>Servitization measurement</t>
  </si>
  <si>
    <t>Relationship</t>
  </si>
  <si>
    <t>Relationship between variables</t>
  </si>
  <si>
    <t>Parameter cleaning</t>
  </si>
  <si>
    <t>Performance measurement</t>
  </si>
  <si>
    <t>Effect size</t>
  </si>
  <si>
    <t>Sample size</t>
  </si>
  <si>
    <t>Effect_dummy</t>
  </si>
  <si>
    <t>Year</t>
  </si>
  <si>
    <t>Title</t>
  </si>
  <si>
    <t>Link</t>
  </si>
  <si>
    <t>Variance</t>
  </si>
  <si>
    <t>Weight</t>
  </si>
  <si>
    <t>Opazo-Basáez M.; Vendrell-Herrero F.; Bustinza O.F.</t>
  </si>
  <si>
    <t>Kaňovská L.</t>
  </si>
  <si>
    <t>Kohtamäki M.; Parida V.; Patel P.C.; Gebauer H.</t>
  </si>
  <si>
    <t>Martín-Peña M.-L.; Sánchez-López J.-M.; Díaz-Garrido E.</t>
  </si>
  <si>
    <t>Abou-foul M.; Ruiz-Alba J.L.; Soares A.</t>
  </si>
  <si>
    <t>Blichfeldt H.; Faullant R.</t>
  </si>
  <si>
    <t>De Luca L.M.; Herhausen D.; Troilo G.; Rossi A.</t>
  </si>
  <si>
    <t>Kharlamov A.A.; Parry G.</t>
  </si>
  <si>
    <t>Korkeamäki L.; Kohtamäki M.; Parida V.</t>
  </si>
  <si>
    <t>Shen L.; Sun C.; Ali M.</t>
  </si>
  <si>
    <t>Zhou D.; Yan T.; Dai W.; Feng J.</t>
  </si>
  <si>
    <t>Agarwal G.K.; Simonsson J.; Magnusson M.; Hald K.S.; Johanson A.</t>
  </si>
  <si>
    <t>Bettiol M.; Capestro M.; Di Maria E.; Micelli S.</t>
  </si>
  <si>
    <t>Bortoluzzi G.; Chiarvesio M.; Romanello R.; Tabacco R.; Veglio V.</t>
  </si>
  <si>
    <t>Dalenogare L.S.; Le Dain M.-A.; Benitez G.B.; Ayala N.F.; Frank A.G.</t>
  </si>
  <si>
    <t>Falkenreck C.; Wagner R.</t>
  </si>
  <si>
    <t>Li L.; Zhu W.; Wei L.; Yang S.</t>
  </si>
  <si>
    <t>Liu C.; Ji H.; Ji J.</t>
  </si>
  <si>
    <t>Rakic S.; Pero M.; Sianesi A.; Marjanovic U.</t>
  </si>
  <si>
    <t>Smania G.S.; Mendes G.H.S.; Lizarelli F.L.; Favoretto C.</t>
  </si>
  <si>
    <t>Behl A.; Kamboj S.; Sarmah B.; Pereira V.; Sharma K.; Rammal H.G.; Arrigo E.</t>
  </si>
  <si>
    <t>Chen L.; Dai Y.; Ren F.; Dong X.</t>
  </si>
  <si>
    <t>Davies P.; Bustinza O.F.; Parry G.; Jovanovic M.</t>
  </si>
  <si>
    <t>Harrmann L.K.; Eggert A.; Böhm E.</t>
  </si>
  <si>
    <t>Li L.; Zhang L.; Yang S.; Wei L.</t>
  </si>
  <si>
    <t>Opazo-Basáez M.; Vendrell-Herrero F.; Bustinza O.F.; Vaillant Y.; Marić J.</t>
  </si>
  <si>
    <t>Schulz C.; Kortmann S.; Piller, F.T.; Pollok P.</t>
  </si>
  <si>
    <t>Song X.; Yang J.</t>
  </si>
  <si>
    <t>Wang J.; Wang W.; Wu H.; Liu Y.</t>
  </si>
  <si>
    <t>Wang Y.; Han P.</t>
  </si>
  <si>
    <t>Xie J.; Ma L.; Li J.</t>
  </si>
  <si>
    <t>Yang Z.; Zhang Y.; Zhang T.</t>
  </si>
  <si>
    <t>Bag S.; Gupta S.; Chan H.-L.; Kumar A.</t>
  </si>
  <si>
    <t>Behl A.; Sampat B.; Gaur J.; Pereira V.; Laker B.; Shankar A.; Shi P.; Roohanifar M.</t>
  </si>
  <si>
    <t>Bustinza, O.F., Molina, L.; Vendrell-Herrero, F.; Opazo-Basaez, M</t>
  </si>
  <si>
    <t>Guang H.; Liu Y.; Feng J.; Wang N.</t>
  </si>
  <si>
    <t>Lee M.-J.; Kim Y.; Roh T.</t>
  </si>
  <si>
    <t>Li G.; Chen Y.; Cheng Y.</t>
  </si>
  <si>
    <t>Li H.; Lu L.B.; Yang S.</t>
  </si>
  <si>
    <t>Liu B.; Li Z.; Fu Y.</t>
  </si>
  <si>
    <t>Upadhayay N.B.; Rocchetta S.; Gupta S.; Kamble S.; Stekelorum R.</t>
  </si>
  <si>
    <t>Vaillant Y.; Lafuente E.</t>
  </si>
  <si>
    <t>Vendrell-Herrero F.; Para-González L.; Mascaraque-Ramírez C.; Freixanet J.</t>
  </si>
  <si>
    <t>Wang M.</t>
  </si>
  <si>
    <t>Zhou D.; Wu Q.; Lee S.; Li X.; Sun K.; Peng X.</t>
  </si>
  <si>
    <t>Scientific management (Taylorism)</t>
  </si>
  <si>
    <t>Not specified</t>
  </si>
  <si>
    <t>Capabilities</t>
  </si>
  <si>
    <t>Dynamic-capabilities view</t>
  </si>
  <si>
    <t>Service-dominant logic</t>
  </si>
  <si>
    <t>Decision-making</t>
  </si>
  <si>
    <t xml:space="preserve"> Organizational information-processing (OIP) theory</t>
  </si>
  <si>
    <t>Dynamic capabilities / Absorptive capacity</t>
  </si>
  <si>
    <t>Dynamic capablities / Technology innovation diffusion</t>
  </si>
  <si>
    <t>Resource-based view</t>
  </si>
  <si>
    <t>Affordance theory</t>
  </si>
  <si>
    <t>Multiple</t>
  </si>
  <si>
    <t>Self-determination and goal-setting theory</t>
  </si>
  <si>
    <t>Technology Acceptance Model and Innovation Diffusion Theory</t>
  </si>
  <si>
    <t>Organizational learning capability</t>
  </si>
  <si>
    <t>Czech Republic</t>
  </si>
  <si>
    <t>Sweeden</t>
  </si>
  <si>
    <t>Spain</t>
  </si>
  <si>
    <t>Europe</t>
  </si>
  <si>
    <t>Italy</t>
  </si>
  <si>
    <t>China</t>
  </si>
  <si>
    <t>Brazil</t>
  </si>
  <si>
    <t>Germany</t>
  </si>
  <si>
    <t>Serbia</t>
  </si>
  <si>
    <t>India</t>
  </si>
  <si>
    <t>Germany and UK</t>
  </si>
  <si>
    <t>Germany, UK and USA</t>
  </si>
  <si>
    <t>Austria, Germany, Switzerland, US</t>
  </si>
  <si>
    <t>Korea</t>
  </si>
  <si>
    <t>Automotive</t>
  </si>
  <si>
    <t>Electric equipment and electronic</t>
  </si>
  <si>
    <t>Manufacturing</t>
  </si>
  <si>
    <t>Book publishers</t>
  </si>
  <si>
    <t>Metal and machinery</t>
  </si>
  <si>
    <t>Machinery and equipment</t>
  </si>
  <si>
    <t>IT Manufacturing</t>
  </si>
  <si>
    <t>ICT, equipment and chemical manufacturing</t>
  </si>
  <si>
    <t>Metal, electronic and automotive industry</t>
  </si>
  <si>
    <t>Equipment manufacturing</t>
  </si>
  <si>
    <t>Secondary data</t>
  </si>
  <si>
    <t>Survey</t>
  </si>
  <si>
    <t>Archival data</t>
  </si>
  <si>
    <t>Digital servitization</t>
  </si>
  <si>
    <t>Smart services</t>
  </si>
  <si>
    <t xml:space="preserve">Digitalization  </t>
  </si>
  <si>
    <t>Digital technology adoption</t>
  </si>
  <si>
    <t>Industry digitalization</t>
  </si>
  <si>
    <t>Digital outcome-based services</t>
  </si>
  <si>
    <t>Digitalized service offerings</t>
  </si>
  <si>
    <t>ICT</t>
  </si>
  <si>
    <t>Industry 4.0</t>
  </si>
  <si>
    <t>4.0 Digital technologies</t>
  </si>
  <si>
    <t>Smart products</t>
  </si>
  <si>
    <t>Digital services (cloud)</t>
  </si>
  <si>
    <t>Digital capabilities</t>
  </si>
  <si>
    <t>IT Technological capabilities</t>
  </si>
  <si>
    <t>Digital solutions (Data-based)</t>
  </si>
  <si>
    <t>Digitalization &amp; Technology tranfer</t>
  </si>
  <si>
    <t>Servitization</t>
  </si>
  <si>
    <t>Digital analysis capabilities</t>
  </si>
  <si>
    <t>Digital application capabilities</t>
  </si>
  <si>
    <t>Digital technology use</t>
  </si>
  <si>
    <t>Big data affordances</t>
  </si>
  <si>
    <t>Data-driven module (Smart Manufacturing)</t>
  </si>
  <si>
    <t>Real Time Monitoring module (Smart Manufacturing)</t>
  </si>
  <si>
    <t>Problem processing module (Smart Manufacturing)</t>
  </si>
  <si>
    <t>Digitalization capability</t>
  </si>
  <si>
    <t>Digital transformation</t>
  </si>
  <si>
    <t>Digitalization</t>
  </si>
  <si>
    <t>Analytics and BI Capabiities</t>
  </si>
  <si>
    <t>AI-driven Smart Manufacturing</t>
  </si>
  <si>
    <t>Smart Manufacturing</t>
  </si>
  <si>
    <t>Digital technology application</t>
  </si>
  <si>
    <t>Digital service innovation</t>
  </si>
  <si>
    <t xml:space="preserve">Servitization   </t>
  </si>
  <si>
    <t>Product-service innovation</t>
  </si>
  <si>
    <t>Service innovation</t>
  </si>
  <si>
    <t>Advanced services</t>
  </si>
  <si>
    <t>Service capabilities</t>
  </si>
  <si>
    <t>Smart customization</t>
  </si>
  <si>
    <t>Service-oriented manufacturing</t>
  </si>
  <si>
    <t>Smart PSS capabilities</t>
  </si>
  <si>
    <t>Service-oriented transformation</t>
  </si>
  <si>
    <t>Digital servitization on performance</t>
  </si>
  <si>
    <t>Smart service on performance</t>
  </si>
  <si>
    <t>Path Digitalization-Servitization-Performance</t>
  </si>
  <si>
    <t>Path Servitization-Digitalization-Performance</t>
  </si>
  <si>
    <t>Sample of Digital servitized</t>
  </si>
  <si>
    <t>Dummy variable</t>
  </si>
  <si>
    <t>Variance analysis</t>
  </si>
  <si>
    <t>Regression analysis</t>
  </si>
  <si>
    <t>CB-SEM</t>
  </si>
  <si>
    <t>Correlation analysis</t>
  </si>
  <si>
    <t>ANOVA y regression analysis</t>
  </si>
  <si>
    <t>PROCESS analysis</t>
  </si>
  <si>
    <t>PLS-SEM</t>
  </si>
  <si>
    <t>Value=1</t>
  </si>
  <si>
    <t>Likert scale</t>
  </si>
  <si>
    <t>Moderation (U-Shape)</t>
  </si>
  <si>
    <t>Mediation (Total effect)</t>
  </si>
  <si>
    <t>Correlation</t>
  </si>
  <si>
    <t>Moderation  SI*DI</t>
  </si>
  <si>
    <t>Direct relationship</t>
  </si>
  <si>
    <t>Moderation  Serv*External Dig</t>
  </si>
  <si>
    <t>Moderation  Serv*Internal Dig</t>
  </si>
  <si>
    <t>Direct relationship (B2B)</t>
  </si>
  <si>
    <t>Mediation through Potential absorptive capacity (Total effect)</t>
  </si>
  <si>
    <t>Mediation through Realized absorptive capacity (Total effect)</t>
  </si>
  <si>
    <t>Moderation by Technological turbulance</t>
  </si>
  <si>
    <t>Moderated mediation through Innovation network</t>
  </si>
  <si>
    <t xml:space="preserve">Moderated by Techology intensity </t>
  </si>
  <si>
    <t>Digitalization play a n.s. moderation role</t>
  </si>
  <si>
    <t>Digitalization play a moderation role</t>
  </si>
  <si>
    <t>Moderated mediation through Service supporting products type</t>
  </si>
  <si>
    <t>Moderated mediation through Service supporting customers type</t>
  </si>
  <si>
    <t>Mediation through Outcome servitization process (Total effect)</t>
  </si>
  <si>
    <t>Mediation through Customer servitization process (Total effect)</t>
  </si>
  <si>
    <t>Moderation  Digitalización*Advanced services</t>
  </si>
  <si>
    <t>Moderation Digitalization*Servitization</t>
  </si>
  <si>
    <t>Moderation Servitization *Digitalization</t>
  </si>
  <si>
    <t>Mediation Basic Services (Total effect)</t>
  </si>
  <si>
    <t>Mediation Advanced Services (Total effect)</t>
  </si>
  <si>
    <t>Indirect relationship through Goal Commitment</t>
  </si>
  <si>
    <t>Indirect relationship through GSCM practices</t>
  </si>
  <si>
    <t>Mediation on Digitally-intensive industries (Total effect)</t>
  </si>
  <si>
    <t>Mediation on Digitally-augmented industries (Total effect)</t>
  </si>
  <si>
    <t>Direct relationship Basic digital services</t>
  </si>
  <si>
    <t>Direct relationship Advanced digital services</t>
  </si>
  <si>
    <t>Labor productivity</t>
  </si>
  <si>
    <t>Innovation performance</t>
  </si>
  <si>
    <t>Return on assets (ROA)</t>
  </si>
  <si>
    <t xml:space="preserve">Firm performance </t>
  </si>
  <si>
    <t>Financial performance</t>
  </si>
  <si>
    <t>Performance (ROS)</t>
  </si>
  <si>
    <t>Perceived performance</t>
  </si>
  <si>
    <t>Productivity and profitability</t>
  </si>
  <si>
    <t>Performance (Gross margin)</t>
  </si>
  <si>
    <t>Market performance</t>
  </si>
  <si>
    <t>Perceived value</t>
  </si>
  <si>
    <t>Product innovation</t>
  </si>
  <si>
    <t>Product performance (smooth PSS)</t>
  </si>
  <si>
    <t>Non-financial performance (customer satisfaction, image, quality)</t>
  </si>
  <si>
    <t>Competitiveness</t>
  </si>
  <si>
    <t>Customer performance</t>
  </si>
  <si>
    <t>Sales growth</t>
  </si>
  <si>
    <t>Energy conservation and emissions reductio</t>
  </si>
  <si>
    <t>Total Factor Productivity</t>
  </si>
  <si>
    <t>Profitability (ROE)</t>
  </si>
  <si>
    <t>Environmental performance</t>
  </si>
  <si>
    <t>Sustainable performance</t>
  </si>
  <si>
    <t>Ecosystem value capture</t>
  </si>
  <si>
    <t>Width of Breakthrough Innovation</t>
  </si>
  <si>
    <t>Green innovation</t>
  </si>
  <si>
    <t>Carbon productivity</t>
  </si>
  <si>
    <t>Performance (ROA)</t>
  </si>
  <si>
    <t>Innovation intensity</t>
  </si>
  <si>
    <t>Operational performance</t>
  </si>
  <si>
    <t>Uncovering productivity gains of digital and green servitization: Implications from the automotive industry</t>
  </si>
  <si>
    <t>Are smart service manufacturing providers different in cooperation and innovation flexibility, in innovation performance and business performance from non-smart service manufacturing providers?</t>
  </si>
  <si>
    <t>The relationship between digitalization and servitization: The role of servitization in capturing the financial potential of digitalization</t>
  </si>
  <si>
    <t>Servitization and digitalization in manufacturing: the influence on firm performance</t>
  </si>
  <si>
    <t>The impact of digitalization and servitization on the financial performance of a firm: an empirical analysis</t>
  </si>
  <si>
    <t>Performance effects of digital technology adoption and product &amp; service innovation – A process-industry perspective</t>
  </si>
  <si>
    <t>How and when do big data investments pay off? The role of marketing affordances and service innovation</t>
  </si>
  <si>
    <t>The impact of servitization and digitization on productivity and profitability of the firm: a systematic approach</t>
  </si>
  <si>
    <t>Worth the risk? The profit impact of outcome-based service offerings for manufacturing firms</t>
  </si>
  <si>
    <t>Role of servitization, digitalization, and innovation performance in manufacturing enterprises</t>
  </si>
  <si>
    <t>Disentangling the interactions within and between servitization and digitalization strategies: A service-dominant logic</t>
  </si>
  <si>
    <t>Value-capture in digital servitization</t>
  </si>
  <si>
    <t>Overcoming pandemic challenges through product innovation: The role of digital technologies and servitization</t>
  </si>
  <si>
    <t>Servitisation and performance in the business-to-business context: the moderating role of Industry 4.0 technologies</t>
  </si>
  <si>
    <t>Multichannel digital service delivery and service ecosystems: The role of data integration within Smart Product-Service Systems</t>
  </si>
  <si>
    <t>From managing customers to joint venturing with customers: co-creating service value in the digital age</t>
  </si>
  <si>
    <t>How can digital collaboration capability boost service innovation? Evidence from the information technology industry</t>
  </si>
  <si>
    <t>Mobile information technology's impacts on service innovation performance of manufacturing enterprises</t>
  </si>
  <si>
    <t>Digital Servitization and Firm Performance: Technology Intensity Approach</t>
  </si>
  <si>
    <t>Service innovation in medical device manufacturers: does the digitalization matter?</t>
  </si>
  <si>
    <t>Customer involvement and servitization in hybrid offerings: moderating role of digitalization and co-creation</t>
  </si>
  <si>
    <t>Data-driven digital capabilities enable servitization strategy: From service supporting the product to service supporting the client</t>
  </si>
  <si>
    <t>Unpacking the relationship between digital capabilities, services capabilities, and firm financial performance: A moderated mediation model</t>
  </si>
  <si>
    <t>Digital technology usage as a driver of servitization paths in manufacturing industries</t>
  </si>
  <si>
    <t>Big data affordances and market performance: The moderating role
of servitization</t>
  </si>
  <si>
    <t>Is digital transformation equally attractive to all manufacturers? Contextualizing the operational and customer benefits of smart manufacturing</t>
  </si>
  <si>
    <t xml:space="preserve">	
Growing with smart products: Why customization capabilities matter for manufacturing firms</t>
  </si>
  <si>
    <t>Assessing the impact of digitization and servitization of manufacturing firms in the context of carbon emission reduction: Evidence from a microsurvey in China</t>
  </si>
  <si>
    <t>Exploring the effects of manufacturing servitization on enterprise energy conservation and emissions reduction moderated by digital transformation</t>
  </si>
  <si>
    <t>Digital Transformation, Service-Oriented Manufacturing, and Total Factor Productivity: Evidence from A-Share Listed Companies in China</t>
  </si>
  <si>
    <t>Servitization, Digitalization or Hand in Hand: A Study on the Sustainable Development Path of Manufacturing Enterprises</t>
  </si>
  <si>
    <t>Leveraging digitalization and servitization to improve financial performance</t>
  </si>
  <si>
    <t>Building smart product-service systems capabilities for circular supply chains in the Industry 4.0 era</t>
  </si>
  <si>
    <t>Can gamification help green supply chain management firms achieve sustainable results in servitized ecosystem? An empirical investigation</t>
  </si>
  <si>
    <t>Smart Manufacturing and Enterprise Breakthrough Innovation: Co-Existence Test of “U-Shaped” and Inverted “U-Shaped” Relationships in Chinese Listed Companies</t>
  </si>
  <si>
    <t>Exploring the role of digital servitization for green innovation: Absorptive capacity, transformative capacity, and environmental strategy</t>
  </si>
  <si>
    <t>Can the Synergy of Digitalization and Servitization Boost Carbon-Related Manufacturing Productivity? Evidence from China’s Provincial Panel Data</t>
  </si>
  <si>
    <t>Servitization level, digital transformation, and enterprise performance of sporting goods manufacturing enterprises in China</t>
  </si>
  <si>
    <t>Financial performance response of manufacturers to servitization: curvilinear relationship mediated by service business focus and moderated by digital technology application</t>
  </si>
  <si>
    <t>Blazing the trail: The role of digital and green servitization on technological innovation</t>
  </si>
  <si>
    <t>Digital versus non-digital servitization for environmental and non-financial performance benefits</t>
  </si>
  <si>
    <t>The order of the factors matters: How digital transformation and servitization integrate more efficiently</t>
  </si>
  <si>
    <t>How much do green and digital service innovations matter for firm performance? Understanding the mediating role of product creativity</t>
  </si>
  <si>
    <t>Unpacking the mechanism linking digital servitization and manufacturing firm performance: the role of the service networks and slack resources</t>
  </si>
  <si>
    <t>https://doi.org/10.3390/su10051524</t>
  </si>
  <si>
    <t>https://doi.org/10.2478/emj-2020-0031</t>
  </si>
  <si>
    <t>https://doi.org/10.1016/j.techfore.2019.119804</t>
  </si>
  <si>
    <t>https://doi.org/10.1108/JBIM-12-2018-0400</t>
  </si>
  <si>
    <t>https://doi.org/10.1080/09537287.2020.1780508</t>
  </si>
  <si>
    <t>https://doi.org/10.1016/j.technovation.2021.102275</t>
  </si>
  <si>
    <t>https://doi.org/10.1007/s11747-020-00739-x</t>
  </si>
  <si>
    <t>https://doi.org/10.1080/09537287.2020.1718793</t>
  </si>
  <si>
    <t>https://doi.org/10.1016/j.jbusres.2021.03.048</t>
  </si>
  <si>
    <t>https://doi.org/10.3390/su13179878</t>
  </si>
  <si>
    <t>https://doi.org/10.1016/j.ijpe.2021.108175</t>
  </si>
  <si>
    <t>https://doi.org/10.1108/JMTM-05-2021-0168</t>
  </si>
  <si>
    <t>https://doi.org/10.1016/j.emj.2022.05.003</t>
  </si>
  <si>
    <t>https://doi.org/10.1108/JMTM-08-2021-0317</t>
  </si>
  <si>
    <t>https://doi.org/10.1016/j.techfore.2022.121894</t>
  </si>
  <si>
    <t>https://doi.org/10.1108/JBIM-02-2020-0100</t>
  </si>
  <si>
    <t>https://doi.org/10.1016/j.techfore.2022.121830</t>
  </si>
  <si>
    <t>https://doi.org/10.1016/j.techfore.2022.121996</t>
  </si>
  <si>
    <t>https://dx.doi.org/10.5755/j01.ee.33.4.29649</t>
  </si>
  <si>
    <t>https://doi.org/10.1108/JBIM-02-2020-0082</t>
  </si>
  <si>
    <t>https://doi.org/10.1108/IMR-11-2021-0325</t>
  </si>
  <si>
    <t>https://doi.org/10.1016/j.techfore.2023.122901</t>
  </si>
  <si>
    <t>https://doi.org/10.1016/j.indmarman.2023.09.005</t>
  </si>
  <si>
    <t>https://doi.org/10.1108/EJM-11-2021-0914</t>
  </si>
  <si>
    <t>https://doi.org/10.1016/j.indmarman.2023.08.014</t>
  </si>
  <si>
    <t>https://doi.org/10.1108/IJPDLM-12-2021-0538</t>
  </si>
  <si>
    <t>https://doi.org/10.1111/jpim.12680</t>
  </si>
  <si>
    <t>https://doi.org/10.1177/0958305X231167470</t>
  </si>
  <si>
    <t>https://doi.org/10.1016/j.eneco.2023.106706</t>
  </si>
  <si>
    <t>https://doi.org/10.3390/su15139974</t>
  </si>
  <si>
    <t>https://doi.org/10.3390/su151310644</t>
  </si>
  <si>
    <t>https://doi.org/10.1080/09537287.2023.2229263</t>
  </si>
  <si>
    <t>https://doi.org/10.1016/j.tre.2024.103625</t>
  </si>
  <si>
    <t>https://doi.org/10.1016/j.technovation.2023.102915</t>
  </si>
  <si>
    <t>https://doi.org/10.3390/su16146181</t>
  </si>
  <si>
    <t>https://doi.org/10.1016/j.techfore.2024.123614</t>
  </si>
  <si>
    <t>https://doi.org/10.3390/su16072655</t>
  </si>
  <si>
    <t>https://doi.org/10.1016/j.heliyon.2024.e33520</t>
  </si>
  <si>
    <t>https://doi.org/10.1108/JSTP-07-2023-0200</t>
  </si>
  <si>
    <t>https://doi.org/10.1016/j.technovation.2023.102922</t>
  </si>
  <si>
    <t>https://doi.org/10.1016/j.jclepro.2024.142078</t>
  </si>
  <si>
    <t>https://doi.org/10.1016/j.ijpe.2024.109228</t>
  </si>
  <si>
    <t>https://doi.org/10.1504/IJTM.2024.135232</t>
  </si>
  <si>
    <t>https://doi.org/10.1108/JBIM-07-2022-0308</t>
  </si>
  <si>
    <t>Desv_s</t>
  </si>
  <si>
    <t>Kaňovská, 2020</t>
  </si>
  <si>
    <t>Opazo-Basáez et al., 2018</t>
  </si>
  <si>
    <t>Kohtamäki et al., 2020</t>
  </si>
  <si>
    <t>Martín-Peña et al., 2020</t>
  </si>
  <si>
    <t>Abou-foul et al., 2021</t>
  </si>
  <si>
    <t>Blichfeldt &amp; Faullant, 2021</t>
  </si>
  <si>
    <t>De Luca et al., 2021</t>
  </si>
  <si>
    <t>Kharlamov &amp; Parry, 2021</t>
  </si>
  <si>
    <t>Korkeamäki et al., 2021</t>
  </si>
  <si>
    <t>Shen et al., 2021</t>
  </si>
  <si>
    <t>Zhou et al., 2021</t>
  </si>
  <si>
    <t>Agarwal et al., 2022</t>
  </si>
  <si>
    <t>Bettiol et al., 2022</t>
  </si>
  <si>
    <t>Bortoluzzi et al., 2022</t>
  </si>
  <si>
    <t>Dalenogare et al., 2022</t>
  </si>
  <si>
    <t>Falkenreck &amp; Wagner, 2022</t>
  </si>
  <si>
    <t>Li et al., 2022</t>
  </si>
  <si>
    <t>Liu et al., 2022</t>
  </si>
  <si>
    <t>Rakic et al., 2022</t>
  </si>
  <si>
    <t>Smania et al., 2022</t>
  </si>
  <si>
    <t>Behl et al., 2023</t>
  </si>
  <si>
    <t>Chen et al., 2023</t>
  </si>
  <si>
    <t>Davies et al. 2023</t>
  </si>
  <si>
    <t>Davies et al., 2023</t>
  </si>
  <si>
    <t>Harrmann, et al., 2023</t>
  </si>
  <si>
    <t>Harrmann et al., 2023</t>
  </si>
  <si>
    <t>Li et al., 2023</t>
  </si>
  <si>
    <t>Opazo-Basáez et al., 2023</t>
  </si>
  <si>
    <t>Schulz et al., 2023</t>
  </si>
  <si>
    <t>Song &amp; Yang, 2023</t>
  </si>
  <si>
    <t>Wang et al., 2023</t>
  </si>
  <si>
    <t>Wang &amp; Han, 2023</t>
  </si>
  <si>
    <t>Xie et al., 2023</t>
  </si>
  <si>
    <t>Yang et al., 2023</t>
  </si>
  <si>
    <t>Yang  et al., 2023</t>
  </si>
  <si>
    <t>Bag et al., 2024</t>
  </si>
  <si>
    <t>Behl  et al., 2024</t>
  </si>
  <si>
    <t>Bustinza et al., 2024</t>
  </si>
  <si>
    <t>Guang et al., 2024</t>
  </si>
  <si>
    <t>Lee et al., 2024</t>
  </si>
  <si>
    <t>Li et al., 2024</t>
  </si>
  <si>
    <t>Liu et al, 2024</t>
  </si>
  <si>
    <t>Upadhayay et al., 2024</t>
  </si>
  <si>
    <t>Vaillant  &amp; Lafuente, 2024</t>
  </si>
  <si>
    <t>Vendrell-Herrero et al., 2024</t>
  </si>
  <si>
    <t>Wang, 2024</t>
  </si>
  <si>
    <t>Zhou et al., 2024</t>
  </si>
  <si>
    <t>studylbl</t>
  </si>
  <si>
    <t>Austria, Belgium, Bulgaria, Brazil, China, Czech Republic, Germany, Spain, UK, Hong Kong, Hungary, Japan, Netherlands, Portugal, Romania, Serbia, Russia, Sweden, Slovakia, Ukraine, and US.</t>
  </si>
  <si>
    <t>UK</t>
  </si>
  <si>
    <t>Denmark, Finland, Iceland, Norway, Sweden</t>
  </si>
  <si>
    <t>Germany, UK,  US, Spain, France, Italy, Switzerland, Sweden</t>
  </si>
  <si>
    <t>missing</t>
  </si>
  <si>
    <t>Emerging countries</t>
  </si>
  <si>
    <t>Country</t>
  </si>
  <si>
    <t>Austria</t>
  </si>
  <si>
    <t>Belgium</t>
  </si>
  <si>
    <t>Bulgaria</t>
  </si>
  <si>
    <t>Denmark</t>
  </si>
  <si>
    <t>Finland</t>
  </si>
  <si>
    <t>France</t>
  </si>
  <si>
    <t>Greece</t>
  </si>
  <si>
    <t>Hong Kong</t>
  </si>
  <si>
    <t>Hungary</t>
  </si>
  <si>
    <t>Iceland</t>
  </si>
  <si>
    <t>Japan</t>
  </si>
  <si>
    <t>Netherlands</t>
  </si>
  <si>
    <t>Norway</t>
  </si>
  <si>
    <t>Portugal</t>
  </si>
  <si>
    <t>Romania</t>
  </si>
  <si>
    <t>Russia</t>
  </si>
  <si>
    <t>Sweden</t>
  </si>
  <si>
    <t>Switzerland</t>
  </si>
  <si>
    <t>Ukraine</t>
  </si>
  <si>
    <t>% R&amp;D World bank (multiple years if possible)</t>
  </si>
  <si>
    <t>% internet users world bank (multiple years if possible)</t>
  </si>
  <si>
    <t>Score Huawei annual Global Connectivity Index (GCI) - multiple years if possible - https://www.huawei.com/minisite/gci/en/</t>
  </si>
  <si>
    <t>Australia, Austria, Belgium, Canada, China, Colombia, Czech Republic, Denmark, Estonia, Finland, France, Germany, Greece, Hong Kong, Hungary, Iceland, Ireland, Israel, Italy, India, Japan, Latvia, Lithuania, Luxembourg, Mexico, Netherlands, Norway, New Zealand, Poland, Portugal, Sweden, Spain, Slovenia, Slovak Republic, South Korea, Turkey, United States, United Kingdom</t>
  </si>
  <si>
    <t>Australia</t>
  </si>
  <si>
    <t>Canada</t>
  </si>
  <si>
    <t>Colombia</t>
  </si>
  <si>
    <t>Estonia</t>
  </si>
  <si>
    <t>Ireland</t>
  </si>
  <si>
    <t>Israel</t>
  </si>
  <si>
    <t>Latvia</t>
  </si>
  <si>
    <t>Lithuania</t>
  </si>
  <si>
    <t>Luxembourg</t>
  </si>
  <si>
    <t>Mexico</t>
  </si>
  <si>
    <t>New Zealand</t>
  </si>
  <si>
    <t>Poland</t>
  </si>
  <si>
    <t>Slovenia</t>
  </si>
  <si>
    <t>South Korea</t>
  </si>
  <si>
    <t>Turkey</t>
  </si>
  <si>
    <t>Nº</t>
  </si>
  <si>
    <t>Slovakia</t>
  </si>
  <si>
    <t>United Kingdom</t>
  </si>
  <si>
    <t>United States</t>
  </si>
  <si>
    <t>Cyprus</t>
  </si>
  <si>
    <t>Egypt</t>
  </si>
  <si>
    <t>Indonesia</t>
  </si>
  <si>
    <t>Iran</t>
  </si>
  <si>
    <t>Kuwait</t>
  </si>
  <si>
    <t>Sri Lanka</t>
  </si>
  <si>
    <t>Moldova</t>
  </si>
  <si>
    <t>Malaysia</t>
  </si>
  <si>
    <t>Nigeria</t>
  </si>
  <si>
    <t>Philippines</t>
  </si>
  <si>
    <t>Singapore</t>
  </si>
  <si>
    <t>Thailand</t>
  </si>
  <si>
    <t>Taiwan</t>
  </si>
  <si>
    <t>Vietnam</t>
  </si>
  <si>
    <t>South Africa</t>
  </si>
  <si>
    <t>51 countries: AE, AT, AU, BE, BM, CA, CH, CN, CO, CY, CZ, DE, DK, EE, EG, ES, FI, FR, GB, GR, HK, HU, ID, IE, IL, IN, IR, IT, JP, KR, KW, LK, LU, LV, MD, MY, NG, NL, NZ, PH, PL, RU, SE, SG, SK, TH, TW, UA, US, VN, ZA.</t>
  </si>
  <si>
    <t> United States</t>
  </si>
  <si>
    <t> Singapore</t>
  </si>
  <si>
    <t> Sweden</t>
  </si>
  <si>
    <t> Denmark</t>
  </si>
  <si>
    <t> Finland</t>
  </si>
  <si>
    <t> Netherlands</t>
  </si>
  <si>
    <t> United Kingdom</t>
  </si>
  <si>
    <t> Japan</t>
  </si>
  <si>
    <t> Norway</t>
  </si>
  <si>
    <t> Australia</t>
  </si>
  <si>
    <t> New Zealand</t>
  </si>
  <si>
    <t> South Korea</t>
  </si>
  <si>
    <t> Luxembourg</t>
  </si>
  <si>
    <t> Germany</t>
  </si>
  <si>
    <t> France</t>
  </si>
  <si>
    <t> Canada</t>
  </si>
  <si>
    <t> Ireland</t>
  </si>
  <si>
    <t> Belgium</t>
  </si>
  <si>
    <t> Austria</t>
  </si>
  <si>
    <t>Score</t>
  </si>
  <si>
    <t>Frontrunners</t>
  </si>
  <si>
    <t>Adopters</t>
  </si>
  <si>
    <t>Starters</t>
  </si>
  <si>
    <t> Spain</t>
  </si>
  <si>
    <t> Estonia</t>
  </si>
  <si>
    <t> Portugal</t>
  </si>
  <si>
    <t> Italy</t>
  </si>
  <si>
    <t> Lithuania</t>
  </si>
  <si>
    <t> Czech Republic</t>
  </si>
  <si>
    <t> Slovenia</t>
  </si>
  <si>
    <t> Chile</t>
  </si>
  <si>
    <t> Hungary</t>
  </si>
  <si>
    <t> Slovakia</t>
  </si>
  <si>
    <t> Saudi Arabia</t>
  </si>
  <si>
    <t> Malaysia</t>
  </si>
  <si>
    <t> Greece</t>
  </si>
  <si>
    <t> Bulgaria</t>
  </si>
  <si>
    <t> Bahrain</t>
  </si>
  <si>
    <t> Croatia</t>
  </si>
  <si>
    <t> Poland</t>
  </si>
  <si>
    <t> United Arab Emirates</t>
  </si>
  <si>
    <t> China</t>
  </si>
  <si>
    <t> Uruguay</t>
  </si>
  <si>
    <t> Romania</t>
  </si>
  <si>
    <t> Russia</t>
  </si>
  <si>
    <t> Oman</t>
  </si>
  <si>
    <t> Brazil</t>
  </si>
  <si>
    <t> Kazakhstan</t>
  </si>
  <si>
    <t> Thailand</t>
  </si>
  <si>
    <t> Belarus</t>
  </si>
  <si>
    <t> Kuwait</t>
  </si>
  <si>
    <t> Turkey</t>
  </si>
  <si>
    <t> Argentina</t>
  </si>
  <si>
    <t> Serbia</t>
  </si>
  <si>
    <t> Ukraine</t>
  </si>
  <si>
    <t> Mexico</t>
  </si>
  <si>
    <t> Colombia</t>
  </si>
  <si>
    <t> Vietnam</t>
  </si>
  <si>
    <t> South Africa</t>
  </si>
  <si>
    <t> Indonesia</t>
  </si>
  <si>
    <t> Philippines</t>
  </si>
  <si>
    <t> Morocco</t>
  </si>
  <si>
    <t> Ecuador</t>
  </si>
  <si>
    <t> Paraguay</t>
  </si>
  <si>
    <t> India</t>
  </si>
  <si>
    <t> Egypt</t>
  </si>
  <si>
    <t> Venezuela</t>
  </si>
  <si>
    <t> Jordan</t>
  </si>
  <si>
    <t> Lebanon</t>
  </si>
  <si>
    <t> Bolivia</t>
  </si>
  <si>
    <t> Algeria</t>
  </si>
  <si>
    <t> Kenya</t>
  </si>
  <si>
    <t> Botswana</t>
  </si>
  <si>
    <t> Ghana</t>
  </si>
  <si>
    <t> Bangladesh</t>
  </si>
  <si>
    <t> Namibia</t>
  </si>
  <si>
    <t> Pakistan</t>
  </si>
  <si>
    <t> Nigeria</t>
  </si>
  <si>
    <t> Uganda</t>
  </si>
  <si>
    <t> Tanzania</t>
  </si>
  <si>
    <t> Ethiopia</t>
  </si>
  <si>
    <t>Switzerand</t>
  </si>
  <si>
    <t>Average score</t>
  </si>
  <si>
    <t>Average frontrunner</t>
  </si>
  <si>
    <t>Average rest</t>
  </si>
  <si>
    <t>missing (emerging countries)</t>
  </si>
  <si>
    <t>EU-27</t>
  </si>
  <si>
    <t>Avscore</t>
  </si>
  <si>
    <t>Avtop</t>
  </si>
  <si>
    <t>Productivity</t>
  </si>
  <si>
    <t>Value</t>
  </si>
  <si>
    <t>Innovation</t>
  </si>
  <si>
    <t>Financial</t>
  </si>
  <si>
    <t>Sustainability</t>
  </si>
  <si>
    <t>Perf</t>
  </si>
  <si>
    <t>Method</t>
  </si>
  <si>
    <t>Moderation</t>
  </si>
  <si>
    <t>Mediation</t>
  </si>
  <si>
    <t>Direct</t>
  </si>
  <si>
    <t>Serv</t>
  </si>
  <si>
    <t>Smart</t>
  </si>
  <si>
    <t>PSI</t>
  </si>
  <si>
    <t>Adv</t>
  </si>
  <si>
    <t>IndCode</t>
  </si>
  <si>
    <t>Medical device manufacturers</t>
  </si>
  <si>
    <t>IndCode1</t>
  </si>
  <si>
    <t>Pakistan</t>
  </si>
  <si>
    <t>Yang C.; Zhang L.; Ling X.; Qin X.; Li M.</t>
  </si>
  <si>
    <t>Product and service performance</t>
  </si>
  <si>
    <t>Digitalization capability and digital product and service innovation performance: empirical evidence from China</t>
  </si>
  <si>
    <t xml:space="preserve"> https://doi.org/10.1108/BPMJ-02-2024-0075</t>
  </si>
  <si>
    <t>Imran M.; Mustafa G.; Rehman S.U.; Susanto P.</t>
  </si>
  <si>
    <t>Practice-based view</t>
  </si>
  <si>
    <t xml:space="preserve"> Effects of Industry 4.0 technologies and servitization on firm performance: evidence from the Pakistani manufacturing sector</t>
  </si>
  <si>
    <t xml:space="preserve"> https://doi.org/10.1108/JMTM-04-2024-0206</t>
  </si>
  <si>
    <t>Liu M., Supasettaysa G.; Taiwan A.</t>
  </si>
  <si>
    <t>Company performance</t>
  </si>
  <si>
    <t>The influence of digital transformation on company performance in the Chinese Baijiu industry: mediating role of servitization</t>
  </si>
  <si>
    <t xml:space="preserve"> https://doi.org/10.33168/JLISS.2025.0215</t>
  </si>
  <si>
    <t>Wu X.; Tang Y.; Fang X.; Xu Y.; Qiao S.</t>
  </si>
  <si>
    <t>Resource-based view/Dynamic Capabilities</t>
  </si>
  <si>
    <t>The effects of servitization, digitalization, and digital learning orientation on sustainable performance: a Hybrid PLS-SEM-ANN model</t>
  </si>
  <si>
    <t xml:space="preserve"> https://doi.org/10.1109/ACCESS.2025.3538635</t>
  </si>
  <si>
    <t>Turkcan H.; Akgün A.E.; Imamoglu S.Z.; Ince H.</t>
  </si>
  <si>
    <t xml:space="preserve"> Unlocking the nexus of digitalization, servitization and financial performance</t>
  </si>
  <si>
    <t xml:space="preserve"> https://doi.org/10.1108/JMTM-04-2025-0297</t>
  </si>
  <si>
    <t>Yang Z.; Rongrong P.</t>
  </si>
  <si>
    <t>Synergy theory</t>
  </si>
  <si>
    <t>ESG performance</t>
  </si>
  <si>
    <t xml:space="preserve"> Can synergistic effect of servitization and product innovation improve ESG performance of manufacturers? The moderating role of digitalization </t>
  </si>
  <si>
    <t xml:space="preserve"> https://doi.org/10.1108/JBIM-01-2025-0014</t>
  </si>
  <si>
    <t>AI-enabled smart manufacturing Boosts Ecosystem Value Capture: The Importance of Servitization Pathways within Digital-Intensive Industries</t>
  </si>
  <si>
    <t>https://doi.org/10.1016/j.ijpe.2024.109411</t>
  </si>
  <si>
    <t>Yang et al., 2025</t>
  </si>
  <si>
    <t>Imran et al., 2025</t>
  </si>
  <si>
    <t>Liu et al., 2025</t>
  </si>
  <si>
    <t>Wu et al., 2025</t>
  </si>
  <si>
    <t>Turkcan et al., 2025</t>
  </si>
  <si>
    <t>Yang and Pan, 2026</t>
  </si>
  <si>
    <t>Notes</t>
  </si>
  <si>
    <t>This paper has 3 interactions with Smart products: business units, supplier, and customers interactions</t>
  </si>
  <si>
    <t>This paper has 3 interactions with Digital services: business units, supplier, and customers interactions</t>
  </si>
  <si>
    <t>This paper has an alternative path through Satisfaction buyer-manufacturer relatinship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</si>
</sst>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Border="1" applyAlignment="1">
      <alignment horizontal="center" vertical="top"/>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vertical="center" wrapText="1"/>
    </xf>
    <xf numFmtId="0" fontId="3" fillId="0" borderId="0" xfId="0" applyFont="1" applyAlignment="1">
      <alignment vertical="center"/>
    </xf>
    <xf numFmtId="2" fontId="0" fillId="0" borderId="0" xfId="0" applyNumberFormat="1"/>
    <xf numFmtId="2" fontId="0" fillId="0" borderId="0" xfId="2" applyNumberFormat="1" applyFont="1"/>
    <xf numFmtId="164" fontId="0" fillId="0" borderId="0" xfId="0" applyNumberFormat="1"/>
  </cellXfs>
  <cellStyles count="3">
    <cellStyle name="Hyperlink" xfId="1"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108/JBIM-02-2020-0082" TargetMode="External"/><Relationship Id="rId21" Type="http://schemas.openxmlformats.org/officeDocument/2006/relationships/hyperlink" Target="https://doi.org/10.1016/j.techfore.2022.121830" TargetMode="External"/><Relationship Id="rId42" Type="http://schemas.openxmlformats.org/officeDocument/2006/relationships/hyperlink" Target="https://doi.org/10.1177/0958305X231167470" TargetMode="External"/><Relationship Id="rId47" Type="http://schemas.openxmlformats.org/officeDocument/2006/relationships/hyperlink" Target="https://doi.org/10.1080/09537287.2023.2229263" TargetMode="External"/><Relationship Id="rId63" Type="http://schemas.openxmlformats.org/officeDocument/2006/relationships/hyperlink" Target="https://doi.org/10.1016/j.ijpe.2024.109228" TargetMode="External"/><Relationship Id="rId68" Type="http://schemas.openxmlformats.org/officeDocument/2006/relationships/hyperlink" Target="https://doi.org/10.1108/BPMJ-02-2024-0075" TargetMode="External"/><Relationship Id="rId2" Type="http://schemas.openxmlformats.org/officeDocument/2006/relationships/hyperlink" Target="https://doi.org/10.2478/emj-2020-0031" TargetMode="External"/><Relationship Id="rId16" Type="http://schemas.openxmlformats.org/officeDocument/2006/relationships/hyperlink" Target="https://doi.org/10.1108/JMTM-08-2021-0317" TargetMode="External"/><Relationship Id="rId29" Type="http://schemas.openxmlformats.org/officeDocument/2006/relationships/hyperlink" Target="https://doi.org/10.1108/IMR-11-2021-0325" TargetMode="External"/><Relationship Id="rId11" Type="http://schemas.openxmlformats.org/officeDocument/2006/relationships/hyperlink" Target="https://doi.org/10.1016/j.ijpe.2021.108175" TargetMode="External"/><Relationship Id="rId24" Type="http://schemas.openxmlformats.org/officeDocument/2006/relationships/hyperlink" Target="https://doi.org/10.1016/j.techfore.2022.121996" TargetMode="External"/><Relationship Id="rId32" Type="http://schemas.openxmlformats.org/officeDocument/2006/relationships/hyperlink" Target="https://doi.org/10.1016/j.indmarman.2023.09.005" TargetMode="External"/><Relationship Id="rId37" Type="http://schemas.openxmlformats.org/officeDocument/2006/relationships/hyperlink" Target="https://doi.org/10.1016/j.indmarman.2023.08.014" TargetMode="External"/><Relationship Id="rId40" Type="http://schemas.openxmlformats.org/officeDocument/2006/relationships/hyperlink" Target="https://doi.org/10.1108/IJPDLM-12-2021-0538" TargetMode="External"/><Relationship Id="rId45" Type="http://schemas.openxmlformats.org/officeDocument/2006/relationships/hyperlink" Target="https://doi.org/10.3390/su15139974" TargetMode="External"/><Relationship Id="rId53" Type="http://schemas.openxmlformats.org/officeDocument/2006/relationships/hyperlink" Target="https://doi.org/10.3390/su16146181" TargetMode="External"/><Relationship Id="rId58" Type="http://schemas.openxmlformats.org/officeDocument/2006/relationships/hyperlink" Target="https://doi.org/10.1016/j.technovation.2023.102922" TargetMode="External"/><Relationship Id="rId66" Type="http://schemas.openxmlformats.org/officeDocument/2006/relationships/hyperlink" Target="https://doi.org/10.1108/JBIM-07-2022-0308" TargetMode="External"/><Relationship Id="rId5" Type="http://schemas.openxmlformats.org/officeDocument/2006/relationships/hyperlink" Target="https://doi.org/10.1080/09537287.2020.1780508" TargetMode="External"/><Relationship Id="rId61" Type="http://schemas.openxmlformats.org/officeDocument/2006/relationships/hyperlink" Target="https://doi.org/10.1016/j.jclepro.2024.142078" TargetMode="External"/><Relationship Id="rId19" Type="http://schemas.openxmlformats.org/officeDocument/2006/relationships/hyperlink" Target="https://doi.org/10.1108/JBIM-02-2020-0100" TargetMode="External"/><Relationship Id="rId14" Type="http://schemas.openxmlformats.org/officeDocument/2006/relationships/hyperlink" Target="https://doi.org/10.1016/j.emj.2022.05.003" TargetMode="External"/><Relationship Id="rId22" Type="http://schemas.openxmlformats.org/officeDocument/2006/relationships/hyperlink" Target="https://doi.org/10.1016/j.techfore.2022.121830" TargetMode="External"/><Relationship Id="rId27" Type="http://schemas.openxmlformats.org/officeDocument/2006/relationships/hyperlink" Target="https://doi.org/10.1108/JBIM-02-2020-0082" TargetMode="External"/><Relationship Id="rId30" Type="http://schemas.openxmlformats.org/officeDocument/2006/relationships/hyperlink" Target="https://doi.org/10.1016/j.techfore.2023.122901" TargetMode="External"/><Relationship Id="rId35" Type="http://schemas.openxmlformats.org/officeDocument/2006/relationships/hyperlink" Target="https://doi.org/10.1108/EJM-11-2021-0914" TargetMode="External"/><Relationship Id="rId43" Type="http://schemas.openxmlformats.org/officeDocument/2006/relationships/hyperlink" Target="https://doi.org/10.1177/0958305X231167470" TargetMode="External"/><Relationship Id="rId48" Type="http://schemas.openxmlformats.org/officeDocument/2006/relationships/hyperlink" Target="https://doi.org/10.1080/09537287.2023.2229263" TargetMode="External"/><Relationship Id="rId56" Type="http://schemas.openxmlformats.org/officeDocument/2006/relationships/hyperlink" Target="https://doi.org/10.1016/j.heliyon.2024.e33520" TargetMode="External"/><Relationship Id="rId64" Type="http://schemas.openxmlformats.org/officeDocument/2006/relationships/hyperlink" Target="https://doi.org/10.1016/j.ijpe.2024.109228" TargetMode="External"/><Relationship Id="rId69" Type="http://schemas.openxmlformats.org/officeDocument/2006/relationships/hyperlink" Target="https://doi.org/10.1108/JMTM-04-2024-0206" TargetMode="External"/><Relationship Id="rId8" Type="http://schemas.openxmlformats.org/officeDocument/2006/relationships/hyperlink" Target="https://doi.org/10.1080/09537287.2020.1718793" TargetMode="External"/><Relationship Id="rId51" Type="http://schemas.openxmlformats.org/officeDocument/2006/relationships/hyperlink" Target="https://doi.org/10.1016/j.technovation.2023.102915" TargetMode="External"/><Relationship Id="rId72" Type="http://schemas.openxmlformats.org/officeDocument/2006/relationships/hyperlink" Target="https://doi.org/10.1108/JMTM-04-2025-0297" TargetMode="External"/><Relationship Id="rId3" Type="http://schemas.openxmlformats.org/officeDocument/2006/relationships/hyperlink" Target="https://doi.org/10.1016/j.techfore.2019.119804" TargetMode="External"/><Relationship Id="rId12" Type="http://schemas.openxmlformats.org/officeDocument/2006/relationships/hyperlink" Target="https://doi.org/10.1016/j.ijpe.2021.108175" TargetMode="External"/><Relationship Id="rId17" Type="http://schemas.openxmlformats.org/officeDocument/2006/relationships/hyperlink" Target="https://doi.org/10.1016/j.techfore.2022.121894" TargetMode="External"/><Relationship Id="rId25" Type="http://schemas.openxmlformats.org/officeDocument/2006/relationships/hyperlink" Target="https://dx.doi.org/10.5755/j01.ee.33.4.29649" TargetMode="External"/><Relationship Id="rId33" Type="http://schemas.openxmlformats.org/officeDocument/2006/relationships/hyperlink" Target="https://doi.org/10.1016/j.indmarman.2023.09.005" TargetMode="External"/><Relationship Id="rId38" Type="http://schemas.openxmlformats.org/officeDocument/2006/relationships/hyperlink" Target="https://doi.org/10.1108/IJPDLM-12-2021-0538" TargetMode="External"/><Relationship Id="rId46" Type="http://schemas.openxmlformats.org/officeDocument/2006/relationships/hyperlink" Target="https://doi.org/10.3390/su151310644" TargetMode="External"/><Relationship Id="rId59" Type="http://schemas.openxmlformats.org/officeDocument/2006/relationships/hyperlink" Target="https://doi.org/10.1016/j.jclepro.2024.142078" TargetMode="External"/><Relationship Id="rId67" Type="http://schemas.openxmlformats.org/officeDocument/2006/relationships/hyperlink" Target="https://doi.org/10.1108/JBIM-07-2022-0308" TargetMode="External"/><Relationship Id="rId20" Type="http://schemas.openxmlformats.org/officeDocument/2006/relationships/hyperlink" Target="https://doi.org/10.1016/j.techfore.2022.121830" TargetMode="External"/><Relationship Id="rId41" Type="http://schemas.openxmlformats.org/officeDocument/2006/relationships/hyperlink" Target="https://doi.org/10.1111/jpim.12680" TargetMode="External"/><Relationship Id="rId54" Type="http://schemas.openxmlformats.org/officeDocument/2006/relationships/hyperlink" Target="https://doi.org/10.1016/j.techfore.2024.123614" TargetMode="External"/><Relationship Id="rId62" Type="http://schemas.openxmlformats.org/officeDocument/2006/relationships/hyperlink" Target="https://doi.org/10.1016/j.jclepro.2024.142078" TargetMode="External"/><Relationship Id="rId70" Type="http://schemas.openxmlformats.org/officeDocument/2006/relationships/hyperlink" Target="https://doi.org/10.33168/JLISS.2025.0215" TargetMode="External"/><Relationship Id="rId1" Type="http://schemas.openxmlformats.org/officeDocument/2006/relationships/hyperlink" Target="https://doi.org/10.3390/su10051524" TargetMode="External"/><Relationship Id="rId6" Type="http://schemas.openxmlformats.org/officeDocument/2006/relationships/hyperlink" Target="https://doi.org/10.1016/j.technovation.2021.102275" TargetMode="External"/><Relationship Id="rId15" Type="http://schemas.openxmlformats.org/officeDocument/2006/relationships/hyperlink" Target="https://doi.org/10.1016/j.emj.2022.05.003" TargetMode="External"/><Relationship Id="rId23" Type="http://schemas.openxmlformats.org/officeDocument/2006/relationships/hyperlink" Target="https://doi.org/10.1016/j.techfore.2022.121996" TargetMode="External"/><Relationship Id="rId28" Type="http://schemas.openxmlformats.org/officeDocument/2006/relationships/hyperlink" Target="https://doi.org/10.1108/IMR-11-2021-0325" TargetMode="External"/><Relationship Id="rId36" Type="http://schemas.openxmlformats.org/officeDocument/2006/relationships/hyperlink" Target="https://doi.org/10.1108/EJM-11-2021-0914" TargetMode="External"/><Relationship Id="rId49" Type="http://schemas.openxmlformats.org/officeDocument/2006/relationships/hyperlink" Target="https://doi.org/10.1016/j.tre.2024.103625" TargetMode="External"/><Relationship Id="rId57" Type="http://schemas.openxmlformats.org/officeDocument/2006/relationships/hyperlink" Target="https://doi.org/10.1108/JSTP-07-2023-0200" TargetMode="External"/><Relationship Id="rId10" Type="http://schemas.openxmlformats.org/officeDocument/2006/relationships/hyperlink" Target="https://doi.org/10.3390/su13179878" TargetMode="External"/><Relationship Id="rId31" Type="http://schemas.openxmlformats.org/officeDocument/2006/relationships/hyperlink" Target="https://doi.org/10.1016/j.techfore.2023.122901" TargetMode="External"/><Relationship Id="rId44" Type="http://schemas.openxmlformats.org/officeDocument/2006/relationships/hyperlink" Target="https://doi.org/10.1016/j.eneco.2023.106706" TargetMode="External"/><Relationship Id="rId52" Type="http://schemas.openxmlformats.org/officeDocument/2006/relationships/hyperlink" Target="https://doi.org/10.1016/j.technovation.2023.102915" TargetMode="External"/><Relationship Id="rId60" Type="http://schemas.openxmlformats.org/officeDocument/2006/relationships/hyperlink" Target="https://doi.org/10.1016/j.jclepro.2024.142078" TargetMode="External"/><Relationship Id="rId65" Type="http://schemas.openxmlformats.org/officeDocument/2006/relationships/hyperlink" Target="https://doi.org/10.1504/IJTM.2024.135232" TargetMode="External"/><Relationship Id="rId73" Type="http://schemas.openxmlformats.org/officeDocument/2006/relationships/hyperlink" Target="https://doi.org/10.1108/JBIM-01-2025-0014" TargetMode="External"/><Relationship Id="rId4" Type="http://schemas.openxmlformats.org/officeDocument/2006/relationships/hyperlink" Target="https://doi.org/10.1108/JBIM-12-2018-0400" TargetMode="External"/><Relationship Id="rId9" Type="http://schemas.openxmlformats.org/officeDocument/2006/relationships/hyperlink" Target="https://doi.org/10.1016/j.jbusres.2021.03.048" TargetMode="External"/><Relationship Id="rId13" Type="http://schemas.openxmlformats.org/officeDocument/2006/relationships/hyperlink" Target="https://doi.org/10.1108/JMTM-05-2021-0168" TargetMode="External"/><Relationship Id="rId18" Type="http://schemas.openxmlformats.org/officeDocument/2006/relationships/hyperlink" Target="https://doi.org/10.1016/j.techfore.2022.121894" TargetMode="External"/><Relationship Id="rId39" Type="http://schemas.openxmlformats.org/officeDocument/2006/relationships/hyperlink" Target="https://doi.org/10.1108/IJPDLM-12-2021-0538" TargetMode="External"/><Relationship Id="rId34" Type="http://schemas.openxmlformats.org/officeDocument/2006/relationships/hyperlink" Target="https://doi.org/10.1016/j.indmarman.2023.09.005" TargetMode="External"/><Relationship Id="rId50" Type="http://schemas.openxmlformats.org/officeDocument/2006/relationships/hyperlink" Target="https://doi.org/10.1016/j.tre.2024.103625" TargetMode="External"/><Relationship Id="rId55" Type="http://schemas.openxmlformats.org/officeDocument/2006/relationships/hyperlink" Target="https://doi.org/10.3390/su16072655" TargetMode="External"/><Relationship Id="rId7" Type="http://schemas.openxmlformats.org/officeDocument/2006/relationships/hyperlink" Target="https://doi.org/10.1007/s11747-020-00739-x" TargetMode="External"/><Relationship Id="rId71" Type="http://schemas.openxmlformats.org/officeDocument/2006/relationships/hyperlink" Target="https://doi.org/10.1109/ACCESS.2025.353863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9"/>
  <sheetViews>
    <sheetView tabSelected="1" topLeftCell="A65" zoomScale="130" zoomScaleNormal="130" workbookViewId="0">
      <selection activeCell="B77" sqref="B77"/>
    </sheetView>
  </sheetViews>
  <sheetFormatPr defaultColWidth="8.81640625" defaultRowHeight="14.5" x14ac:dyDescent="0.35"/>
  <cols>
    <col min="3" max="3" width="26.26953125" customWidth="1"/>
    <col min="5" max="5" width="29.453125" bestFit="1" customWidth="1"/>
    <col min="6" max="7" width="28.81640625" customWidth="1"/>
    <col min="8" max="8" width="12.26953125" customWidth="1"/>
    <col min="10" max="10" width="45.54296875" bestFit="1" customWidth="1"/>
    <col min="11" max="11" width="10.26953125" customWidth="1"/>
    <col min="12" max="12" width="27.81640625" bestFit="1" customWidth="1"/>
    <col min="13" max="13" width="38.54296875" bestFit="1" customWidth="1"/>
    <col min="14" max="14" width="27.81640625" bestFit="1" customWidth="1"/>
    <col min="15" max="15" width="12.26953125" customWidth="1"/>
    <col min="16" max="16" width="15.453125" customWidth="1"/>
    <col min="17" max="17" width="11.81640625" bestFit="1" customWidth="1"/>
    <col min="18" max="18" width="56.1796875" bestFit="1" customWidth="1"/>
    <col min="23" max="23" width="48.81640625" bestFit="1" customWidth="1"/>
    <col min="24" max="24" width="33.7265625" customWidth="1"/>
  </cols>
  <sheetData>
    <row r="1" spans="1:31" x14ac:dyDescent="0.35">
      <c r="A1" s="1" t="s">
        <v>0</v>
      </c>
      <c r="B1" s="1" t="s">
        <v>1</v>
      </c>
      <c r="C1" s="1" t="s">
        <v>2</v>
      </c>
      <c r="D1" s="1" t="s">
        <v>3</v>
      </c>
      <c r="E1" s="1" t="s">
        <v>4</v>
      </c>
      <c r="F1" s="1" t="s">
        <v>5</v>
      </c>
      <c r="G1" s="1" t="s">
        <v>530</v>
      </c>
      <c r="H1" s="1" t="s">
        <v>528</v>
      </c>
      <c r="I1" s="1" t="s">
        <v>6</v>
      </c>
      <c r="J1" s="1" t="s">
        <v>7</v>
      </c>
      <c r="K1" s="1" t="s">
        <v>524</v>
      </c>
      <c r="L1" s="1" t="s">
        <v>8</v>
      </c>
      <c r="M1" s="1" t="s">
        <v>9</v>
      </c>
      <c r="N1" s="1" t="s">
        <v>10</v>
      </c>
      <c r="O1" s="1" t="s">
        <v>520</v>
      </c>
      <c r="P1" s="1" t="s">
        <v>11</v>
      </c>
      <c r="Q1" s="1" t="s">
        <v>519</v>
      </c>
      <c r="R1" s="1" t="s">
        <v>12</v>
      </c>
      <c r="S1" s="1" t="s">
        <v>13</v>
      </c>
      <c r="T1" s="1" t="s">
        <v>14</v>
      </c>
      <c r="U1" s="1" t="s">
        <v>15</v>
      </c>
      <c r="V1" s="1" t="s">
        <v>16</v>
      </c>
      <c r="W1" s="1" t="s">
        <v>359</v>
      </c>
      <c r="X1" s="1" t="s">
        <v>17</v>
      </c>
      <c r="Y1" s="1" t="s">
        <v>18</v>
      </c>
      <c r="Z1" s="1" t="s">
        <v>564</v>
      </c>
      <c r="AA1" s="1" t="s">
        <v>19</v>
      </c>
      <c r="AB1" s="1" t="s">
        <v>20</v>
      </c>
      <c r="AC1" s="3" t="s">
        <v>311</v>
      </c>
      <c r="AD1" t="s">
        <v>512</v>
      </c>
      <c r="AE1" t="s">
        <v>513</v>
      </c>
    </row>
    <row r="2" spans="1:31" x14ac:dyDescent="0.35">
      <c r="A2">
        <v>1</v>
      </c>
      <c r="B2">
        <v>1</v>
      </c>
      <c r="C2" t="s">
        <v>21</v>
      </c>
      <c r="D2" t="s">
        <v>66</v>
      </c>
      <c r="E2" t="s">
        <v>360</v>
      </c>
      <c r="F2" t="s">
        <v>95</v>
      </c>
      <c r="G2" t="str">
        <f>CONCATENATE("NACE", H2)</f>
        <v>NACE33</v>
      </c>
      <c r="H2">
        <v>33</v>
      </c>
      <c r="I2" t="s">
        <v>105</v>
      </c>
      <c r="J2" t="s">
        <v>108</v>
      </c>
      <c r="K2" t="s">
        <v>525</v>
      </c>
      <c r="L2" t="s">
        <v>108</v>
      </c>
      <c r="M2" t="s">
        <v>149</v>
      </c>
      <c r="N2" t="s">
        <v>154</v>
      </c>
      <c r="O2" t="s">
        <v>523</v>
      </c>
      <c r="P2" t="s">
        <v>162</v>
      </c>
      <c r="Q2" t="s">
        <v>514</v>
      </c>
      <c r="R2" t="s">
        <v>194</v>
      </c>
      <c r="S2">
        <v>0.14574489589650291</v>
      </c>
      <c r="T2">
        <v>228</v>
      </c>
      <c r="U2">
        <v>0</v>
      </c>
      <c r="V2">
        <v>2018</v>
      </c>
      <c r="W2" t="s">
        <v>313</v>
      </c>
      <c r="X2" t="s">
        <v>223</v>
      </c>
      <c r="Y2" s="2" t="s">
        <v>267</v>
      </c>
      <c r="AA2">
        <v>4.3859649122807024E-3</v>
      </c>
      <c r="AB2">
        <v>228</v>
      </c>
      <c r="AC2">
        <v>6.6226617853252193E-2</v>
      </c>
      <c r="AD2" s="8">
        <v>61.5</v>
      </c>
      <c r="AE2" s="9">
        <v>0.73799999999999999</v>
      </c>
    </row>
    <row r="3" spans="1:31" x14ac:dyDescent="0.35">
      <c r="A3">
        <v>2</v>
      </c>
      <c r="B3">
        <v>2</v>
      </c>
      <c r="C3" t="s">
        <v>22</v>
      </c>
      <c r="D3" t="s">
        <v>67</v>
      </c>
      <c r="E3" t="s">
        <v>81</v>
      </c>
      <c r="F3" t="s">
        <v>96</v>
      </c>
      <c r="G3" t="str">
        <f t="shared" ref="G3:G66" si="0">CONCATENATE("NACE", H3)</f>
        <v>NACE33</v>
      </c>
      <c r="H3">
        <v>33</v>
      </c>
      <c r="I3" t="s">
        <v>106</v>
      </c>
      <c r="J3" t="s">
        <v>109</v>
      </c>
      <c r="K3" t="s">
        <v>525</v>
      </c>
      <c r="L3" t="s">
        <v>109</v>
      </c>
      <c r="M3" t="s">
        <v>150</v>
      </c>
      <c r="N3" t="s">
        <v>155</v>
      </c>
      <c r="O3" t="s">
        <v>523</v>
      </c>
      <c r="P3" t="s">
        <v>163</v>
      </c>
      <c r="Q3" t="s">
        <v>516</v>
      </c>
      <c r="R3" t="s">
        <v>195</v>
      </c>
      <c r="S3">
        <v>0.2221548413179705</v>
      </c>
      <c r="T3">
        <v>112</v>
      </c>
      <c r="U3">
        <v>0</v>
      </c>
      <c r="V3">
        <v>2020</v>
      </c>
      <c r="W3" t="s">
        <v>312</v>
      </c>
      <c r="X3" t="s">
        <v>224</v>
      </c>
      <c r="Y3" s="2" t="s">
        <v>268</v>
      </c>
      <c r="AA3">
        <v>8.9285714285714281E-3</v>
      </c>
      <c r="AB3">
        <v>112</v>
      </c>
      <c r="AC3">
        <v>9.4491118252306799E-2</v>
      </c>
      <c r="AD3" s="8">
        <v>57</v>
      </c>
      <c r="AE3" s="8">
        <v>0</v>
      </c>
    </row>
    <row r="4" spans="1:31" x14ac:dyDescent="0.35">
      <c r="A4">
        <v>3</v>
      </c>
      <c r="B4">
        <v>3</v>
      </c>
      <c r="C4" t="s">
        <v>23</v>
      </c>
      <c r="D4" t="s">
        <v>67</v>
      </c>
      <c r="E4" t="s">
        <v>82</v>
      </c>
      <c r="F4" t="s">
        <v>97</v>
      </c>
      <c r="G4" t="str">
        <f t="shared" si="0"/>
        <v>NACE33</v>
      </c>
      <c r="H4">
        <v>33</v>
      </c>
      <c r="I4" t="s">
        <v>106</v>
      </c>
      <c r="J4" t="s">
        <v>110</v>
      </c>
      <c r="K4" t="s">
        <v>526</v>
      </c>
      <c r="L4" t="s">
        <v>140</v>
      </c>
      <c r="M4" t="s">
        <v>151</v>
      </c>
      <c r="N4" t="s">
        <v>156</v>
      </c>
      <c r="O4" t="s">
        <v>521</v>
      </c>
      <c r="P4" t="s">
        <v>164</v>
      </c>
      <c r="Q4" t="s">
        <v>517</v>
      </c>
      <c r="R4" t="s">
        <v>196</v>
      </c>
      <c r="S4">
        <v>0.32</v>
      </c>
      <c r="T4">
        <v>131</v>
      </c>
      <c r="U4">
        <v>0</v>
      </c>
      <c r="V4">
        <v>2020</v>
      </c>
      <c r="W4" t="s">
        <v>314</v>
      </c>
      <c r="X4" t="s">
        <v>225</v>
      </c>
      <c r="Y4" s="2" t="s">
        <v>269</v>
      </c>
      <c r="AA4">
        <v>7.6335877862595417E-3</v>
      </c>
      <c r="AB4">
        <v>131</v>
      </c>
      <c r="AC4">
        <v>8.7370405666103795E-2</v>
      </c>
      <c r="AD4" s="8">
        <v>80</v>
      </c>
      <c r="AE4" s="8">
        <v>1</v>
      </c>
    </row>
    <row r="5" spans="1:31" x14ac:dyDescent="0.35">
      <c r="A5">
        <v>4</v>
      </c>
      <c r="B5">
        <v>4</v>
      </c>
      <c r="C5" t="s">
        <v>24</v>
      </c>
      <c r="D5" t="s">
        <v>67</v>
      </c>
      <c r="E5" t="s">
        <v>83</v>
      </c>
      <c r="F5" t="s">
        <v>97</v>
      </c>
      <c r="G5" t="str">
        <f t="shared" si="0"/>
        <v>NACE313233</v>
      </c>
      <c r="H5">
        <v>313233</v>
      </c>
      <c r="I5" t="s">
        <v>106</v>
      </c>
      <c r="J5" t="s">
        <v>110</v>
      </c>
      <c r="K5" t="s">
        <v>526</v>
      </c>
      <c r="L5" t="s">
        <v>140</v>
      </c>
      <c r="M5" t="s">
        <v>152</v>
      </c>
      <c r="N5" t="s">
        <v>156</v>
      </c>
      <c r="O5" t="s">
        <v>522</v>
      </c>
      <c r="P5" t="s">
        <v>165</v>
      </c>
      <c r="Q5" t="s">
        <v>517</v>
      </c>
      <c r="R5" t="s">
        <v>197</v>
      </c>
      <c r="S5">
        <v>1.4E-2</v>
      </c>
      <c r="T5">
        <v>828</v>
      </c>
      <c r="U5">
        <v>1</v>
      </c>
      <c r="V5">
        <v>2020</v>
      </c>
      <c r="W5" t="s">
        <v>315</v>
      </c>
      <c r="X5" t="s">
        <v>226</v>
      </c>
      <c r="Y5" s="2" t="s">
        <v>270</v>
      </c>
      <c r="AA5">
        <v>1.207729468599034E-3</v>
      </c>
      <c r="AB5">
        <v>828</v>
      </c>
      <c r="AC5">
        <v>3.4752402342845795E-2</v>
      </c>
      <c r="AD5" s="8">
        <v>61</v>
      </c>
      <c r="AE5" s="8">
        <v>0</v>
      </c>
    </row>
    <row r="6" spans="1:31" x14ac:dyDescent="0.35">
      <c r="A6">
        <v>5</v>
      </c>
      <c r="B6">
        <v>5</v>
      </c>
      <c r="C6" t="s">
        <v>25</v>
      </c>
      <c r="D6" t="s">
        <v>68</v>
      </c>
      <c r="E6" t="s">
        <v>363</v>
      </c>
      <c r="F6" t="s">
        <v>97</v>
      </c>
      <c r="G6" t="str">
        <f t="shared" si="0"/>
        <v>NACE313233</v>
      </c>
      <c r="H6">
        <v>313233</v>
      </c>
      <c r="I6" t="s">
        <v>106</v>
      </c>
      <c r="J6" t="s">
        <v>110</v>
      </c>
      <c r="K6" t="s">
        <v>526</v>
      </c>
      <c r="L6" t="s">
        <v>140</v>
      </c>
      <c r="M6" t="s">
        <v>151</v>
      </c>
      <c r="N6" t="s">
        <v>157</v>
      </c>
      <c r="O6" t="s">
        <v>522</v>
      </c>
      <c r="P6" t="s">
        <v>165</v>
      </c>
      <c r="Q6" t="s">
        <v>517</v>
      </c>
      <c r="R6" t="s">
        <v>198</v>
      </c>
      <c r="S6">
        <v>0.77</v>
      </c>
      <c r="T6">
        <v>185</v>
      </c>
      <c r="U6">
        <v>1</v>
      </c>
      <c r="V6">
        <v>2021</v>
      </c>
      <c r="W6" t="s">
        <v>316</v>
      </c>
      <c r="X6" t="s">
        <v>227</v>
      </c>
      <c r="Y6" s="2" t="s">
        <v>271</v>
      </c>
      <c r="AA6">
        <v>5.4054054054054057E-3</v>
      </c>
      <c r="AB6">
        <v>185</v>
      </c>
      <c r="AC6">
        <v>7.3521462209380772E-2</v>
      </c>
      <c r="AD6" s="8">
        <v>73</v>
      </c>
      <c r="AE6" s="8">
        <v>0.75</v>
      </c>
    </row>
    <row r="7" spans="1:31" x14ac:dyDescent="0.35">
      <c r="A7">
        <v>6</v>
      </c>
      <c r="B7">
        <v>6</v>
      </c>
      <c r="C7" t="s">
        <v>26</v>
      </c>
      <c r="D7" t="s">
        <v>67</v>
      </c>
      <c r="E7" t="s">
        <v>84</v>
      </c>
      <c r="F7" t="s">
        <v>97</v>
      </c>
      <c r="G7" t="str">
        <f t="shared" si="0"/>
        <v>NACE313233</v>
      </c>
      <c r="H7">
        <v>313233</v>
      </c>
      <c r="I7" t="s">
        <v>106</v>
      </c>
      <c r="J7" t="s">
        <v>111</v>
      </c>
      <c r="K7" t="s">
        <v>526</v>
      </c>
      <c r="L7" t="s">
        <v>141</v>
      </c>
      <c r="M7" t="s">
        <v>151</v>
      </c>
      <c r="N7" t="s">
        <v>158</v>
      </c>
      <c r="O7" t="s">
        <v>523</v>
      </c>
      <c r="P7" t="s">
        <v>166</v>
      </c>
      <c r="Q7" t="s">
        <v>517</v>
      </c>
      <c r="R7" t="s">
        <v>199</v>
      </c>
      <c r="S7">
        <v>0.13240347685465939</v>
      </c>
      <c r="T7">
        <v>747</v>
      </c>
      <c r="U7">
        <v>0</v>
      </c>
      <c r="V7">
        <v>2021</v>
      </c>
      <c r="W7" t="s">
        <v>317</v>
      </c>
      <c r="X7" t="s">
        <v>228</v>
      </c>
      <c r="Y7" s="2" t="s">
        <v>272</v>
      </c>
      <c r="AA7">
        <v>1.338688085676037E-3</v>
      </c>
      <c r="AB7">
        <v>747</v>
      </c>
      <c r="AC7">
        <v>3.6588086663230109E-2</v>
      </c>
      <c r="AD7" s="8">
        <v>62.56</v>
      </c>
      <c r="AE7" s="8">
        <v>0.43469999999999998</v>
      </c>
    </row>
    <row r="8" spans="1:31" x14ac:dyDescent="0.35">
      <c r="A8">
        <v>7</v>
      </c>
      <c r="B8">
        <v>7</v>
      </c>
      <c r="C8" t="s">
        <v>27</v>
      </c>
      <c r="D8" t="s">
        <v>69</v>
      </c>
      <c r="E8" t="s">
        <v>85</v>
      </c>
      <c r="F8" t="s">
        <v>77</v>
      </c>
      <c r="G8" t="str">
        <f t="shared" si="0"/>
        <v>NACE33</v>
      </c>
      <c r="H8">
        <v>33</v>
      </c>
      <c r="I8" t="s">
        <v>106</v>
      </c>
      <c r="J8" t="s">
        <v>112</v>
      </c>
      <c r="K8" t="s">
        <v>526</v>
      </c>
      <c r="L8" t="s">
        <v>142</v>
      </c>
      <c r="M8" t="s">
        <v>152</v>
      </c>
      <c r="N8" t="s">
        <v>157</v>
      </c>
      <c r="O8" t="s">
        <v>521</v>
      </c>
      <c r="P8" t="s">
        <v>167</v>
      </c>
      <c r="Q8" t="s">
        <v>515</v>
      </c>
      <c r="R8" t="s">
        <v>200</v>
      </c>
      <c r="S8">
        <v>0.22600000000000001</v>
      </c>
      <c r="T8">
        <v>122</v>
      </c>
      <c r="U8">
        <v>1</v>
      </c>
      <c r="V8">
        <v>2021</v>
      </c>
      <c r="W8" t="s">
        <v>318</v>
      </c>
      <c r="X8" t="s">
        <v>229</v>
      </c>
      <c r="Y8" s="2" t="s">
        <v>273</v>
      </c>
      <c r="AA8">
        <v>8.1967213114754103E-3</v>
      </c>
      <c r="AB8">
        <v>122</v>
      </c>
      <c r="AC8">
        <v>9.0535746042518531E-2</v>
      </c>
      <c r="AD8" s="8">
        <v>60</v>
      </c>
      <c r="AE8" s="8">
        <v>0</v>
      </c>
    </row>
    <row r="9" spans="1:31" x14ac:dyDescent="0.35">
      <c r="A9">
        <v>8</v>
      </c>
      <c r="B9">
        <v>8</v>
      </c>
      <c r="C9" t="s">
        <v>28</v>
      </c>
      <c r="D9" t="s">
        <v>70</v>
      </c>
      <c r="E9" t="s">
        <v>361</v>
      </c>
      <c r="F9" t="s">
        <v>98</v>
      </c>
      <c r="G9" t="str">
        <f t="shared" si="0"/>
        <v>NACE32</v>
      </c>
      <c r="H9">
        <v>32</v>
      </c>
      <c r="I9" t="s">
        <v>107</v>
      </c>
      <c r="J9" t="s">
        <v>108</v>
      </c>
      <c r="K9" t="s">
        <v>525</v>
      </c>
      <c r="L9" t="s">
        <v>108</v>
      </c>
      <c r="M9" t="s">
        <v>149</v>
      </c>
      <c r="N9" t="s">
        <v>156</v>
      </c>
      <c r="O9" t="s">
        <v>523</v>
      </c>
      <c r="P9" t="s">
        <v>168</v>
      </c>
      <c r="Q9" t="s">
        <v>514</v>
      </c>
      <c r="R9" t="s">
        <v>201</v>
      </c>
      <c r="S9">
        <v>0.1999191429148979</v>
      </c>
      <c r="T9">
        <v>258</v>
      </c>
      <c r="U9">
        <v>0</v>
      </c>
      <c r="V9">
        <v>2021</v>
      </c>
      <c r="W9" t="s">
        <v>319</v>
      </c>
      <c r="X9" t="s">
        <v>230</v>
      </c>
      <c r="Y9" s="2" t="s">
        <v>274</v>
      </c>
      <c r="AA9">
        <v>3.875968992248062E-3</v>
      </c>
      <c r="AB9">
        <v>258</v>
      </c>
      <c r="AC9">
        <v>6.2257280636469035E-2</v>
      </c>
      <c r="AD9" s="8">
        <v>75</v>
      </c>
      <c r="AE9" s="8">
        <v>1</v>
      </c>
    </row>
    <row r="10" spans="1:31" x14ac:dyDescent="0.35">
      <c r="A10">
        <v>9</v>
      </c>
      <c r="B10">
        <v>9</v>
      </c>
      <c r="C10" t="s">
        <v>29</v>
      </c>
      <c r="D10" t="s">
        <v>67</v>
      </c>
      <c r="E10" t="s">
        <v>424</v>
      </c>
      <c r="F10" t="s">
        <v>100</v>
      </c>
      <c r="G10" t="str">
        <f t="shared" si="0"/>
        <v>NACE33</v>
      </c>
      <c r="H10">
        <v>33</v>
      </c>
      <c r="I10" t="s">
        <v>107</v>
      </c>
      <c r="J10" t="s">
        <v>113</v>
      </c>
      <c r="K10" t="s">
        <v>527</v>
      </c>
      <c r="L10" t="s">
        <v>113</v>
      </c>
      <c r="M10" t="s">
        <v>149</v>
      </c>
      <c r="N10" t="s">
        <v>156</v>
      </c>
      <c r="O10" t="s">
        <v>523</v>
      </c>
      <c r="P10" t="s">
        <v>168</v>
      </c>
      <c r="Q10" t="s">
        <v>517</v>
      </c>
      <c r="R10" t="s">
        <v>202</v>
      </c>
      <c r="S10">
        <v>1</v>
      </c>
      <c r="T10">
        <v>1566</v>
      </c>
      <c r="U10">
        <v>0</v>
      </c>
      <c r="V10">
        <v>2021</v>
      </c>
      <c r="W10" t="s">
        <v>320</v>
      </c>
      <c r="X10" t="s">
        <v>231</v>
      </c>
      <c r="Y10" s="2" t="s">
        <v>275</v>
      </c>
      <c r="AA10">
        <v>6.3856960408684551E-4</v>
      </c>
      <c r="AB10">
        <v>1566</v>
      </c>
      <c r="AC10">
        <v>2.5269934785963448E-2</v>
      </c>
      <c r="AD10" s="8">
        <v>51.75</v>
      </c>
      <c r="AE10" s="8">
        <v>0.2727</v>
      </c>
    </row>
    <row r="11" spans="1:31" x14ac:dyDescent="0.35">
      <c r="A11">
        <v>10</v>
      </c>
      <c r="B11">
        <v>10</v>
      </c>
      <c r="C11" t="s">
        <v>30</v>
      </c>
      <c r="D11" t="s">
        <v>69</v>
      </c>
      <c r="E11" t="s">
        <v>86</v>
      </c>
      <c r="F11" t="s">
        <v>97</v>
      </c>
      <c r="G11" t="str">
        <f t="shared" si="0"/>
        <v>NACE313233</v>
      </c>
      <c r="H11">
        <v>313233</v>
      </c>
      <c r="I11" t="s">
        <v>107</v>
      </c>
      <c r="J11" t="s">
        <v>110</v>
      </c>
      <c r="K11" t="s">
        <v>526</v>
      </c>
      <c r="L11" t="s">
        <v>140</v>
      </c>
      <c r="M11" t="s">
        <v>152</v>
      </c>
      <c r="N11" t="s">
        <v>156</v>
      </c>
      <c r="O11" t="s">
        <v>522</v>
      </c>
      <c r="P11" t="s">
        <v>165</v>
      </c>
      <c r="Q11" t="s">
        <v>516</v>
      </c>
      <c r="R11" t="s">
        <v>195</v>
      </c>
      <c r="S11">
        <v>0.5087932080048515</v>
      </c>
      <c r="T11">
        <v>1894</v>
      </c>
      <c r="U11">
        <v>0</v>
      </c>
      <c r="V11">
        <v>2021</v>
      </c>
      <c r="W11" t="s">
        <v>321</v>
      </c>
      <c r="X11" t="s">
        <v>232</v>
      </c>
      <c r="Y11" s="2" t="s">
        <v>276</v>
      </c>
      <c r="AA11">
        <v>5.2798310454065466E-4</v>
      </c>
      <c r="AB11">
        <v>1894</v>
      </c>
      <c r="AC11">
        <v>2.2977882942966148E-2</v>
      </c>
      <c r="AD11" s="8">
        <v>62</v>
      </c>
      <c r="AE11" s="8">
        <v>0</v>
      </c>
    </row>
    <row r="12" spans="1:31" x14ac:dyDescent="0.35">
      <c r="A12">
        <v>11</v>
      </c>
      <c r="B12">
        <v>11</v>
      </c>
      <c r="C12" t="s">
        <v>31</v>
      </c>
      <c r="D12" t="s">
        <v>70</v>
      </c>
      <c r="E12" t="s">
        <v>86</v>
      </c>
      <c r="F12" t="s">
        <v>97</v>
      </c>
      <c r="G12" t="str">
        <f t="shared" si="0"/>
        <v>NACE313233</v>
      </c>
      <c r="H12">
        <v>313233</v>
      </c>
      <c r="I12" t="s">
        <v>106</v>
      </c>
      <c r="J12" t="s">
        <v>110</v>
      </c>
      <c r="K12" t="s">
        <v>527</v>
      </c>
      <c r="L12" t="s">
        <v>143</v>
      </c>
      <c r="M12" t="s">
        <v>152</v>
      </c>
      <c r="N12" t="s">
        <v>156</v>
      </c>
      <c r="O12" t="s">
        <v>521</v>
      </c>
      <c r="P12" t="s">
        <v>169</v>
      </c>
      <c r="Q12" t="s">
        <v>517</v>
      </c>
      <c r="R12" t="s">
        <v>203</v>
      </c>
      <c r="S12">
        <v>0.14109561350313321</v>
      </c>
      <c r="T12">
        <v>257</v>
      </c>
      <c r="U12">
        <v>0</v>
      </c>
      <c r="V12">
        <v>2021</v>
      </c>
      <c r="W12" t="s">
        <v>322</v>
      </c>
      <c r="X12" t="s">
        <v>233</v>
      </c>
      <c r="Y12" s="2" t="s">
        <v>277</v>
      </c>
      <c r="AA12">
        <v>3.891050583657588E-3</v>
      </c>
      <c r="AB12">
        <v>257</v>
      </c>
      <c r="AC12">
        <v>6.237828615518054E-2</v>
      </c>
      <c r="AD12" s="8">
        <v>62</v>
      </c>
      <c r="AE12" s="8">
        <v>0</v>
      </c>
    </row>
    <row r="13" spans="1:31" x14ac:dyDescent="0.35">
      <c r="A13">
        <v>12</v>
      </c>
      <c r="B13">
        <v>11</v>
      </c>
      <c r="C13" t="s">
        <v>31</v>
      </c>
      <c r="D13" t="s">
        <v>70</v>
      </c>
      <c r="E13" t="s">
        <v>86</v>
      </c>
      <c r="F13" t="s">
        <v>97</v>
      </c>
      <c r="G13" t="str">
        <f t="shared" si="0"/>
        <v>NACE313233</v>
      </c>
      <c r="H13">
        <v>313233</v>
      </c>
      <c r="I13" t="s">
        <v>106</v>
      </c>
      <c r="J13" t="s">
        <v>110</v>
      </c>
      <c r="K13" t="s">
        <v>527</v>
      </c>
      <c r="L13" t="s">
        <v>143</v>
      </c>
      <c r="M13" t="s">
        <v>152</v>
      </c>
      <c r="N13" t="s">
        <v>156</v>
      </c>
      <c r="O13" t="s">
        <v>521</v>
      </c>
      <c r="P13" t="s">
        <v>170</v>
      </c>
      <c r="Q13" t="s">
        <v>517</v>
      </c>
      <c r="R13" t="s">
        <v>203</v>
      </c>
      <c r="S13">
        <v>5.5184960582171018E-2</v>
      </c>
      <c r="T13">
        <v>257</v>
      </c>
      <c r="U13">
        <v>0</v>
      </c>
      <c r="V13">
        <v>2021</v>
      </c>
      <c r="W13" t="s">
        <v>322</v>
      </c>
      <c r="X13" t="s">
        <v>233</v>
      </c>
      <c r="Y13" s="2" t="s">
        <v>277</v>
      </c>
      <c r="AA13">
        <v>3.891050583657588E-3</v>
      </c>
      <c r="AB13">
        <v>257</v>
      </c>
      <c r="AC13">
        <v>6.237828615518054E-2</v>
      </c>
      <c r="AD13" s="8">
        <v>62</v>
      </c>
      <c r="AE13" s="8">
        <v>0</v>
      </c>
    </row>
    <row r="14" spans="1:31" x14ac:dyDescent="0.35">
      <c r="A14">
        <v>13</v>
      </c>
      <c r="B14">
        <v>12</v>
      </c>
      <c r="C14" t="s">
        <v>32</v>
      </c>
      <c r="D14" t="s">
        <v>71</v>
      </c>
      <c r="E14" t="s">
        <v>362</v>
      </c>
      <c r="F14" t="s">
        <v>97</v>
      </c>
      <c r="G14" t="str">
        <f t="shared" si="0"/>
        <v>NACE313233</v>
      </c>
      <c r="H14">
        <v>313233</v>
      </c>
      <c r="I14" t="s">
        <v>106</v>
      </c>
      <c r="J14" t="s">
        <v>114</v>
      </c>
      <c r="K14" t="s">
        <v>525</v>
      </c>
      <c r="L14" t="s">
        <v>114</v>
      </c>
      <c r="M14" t="s">
        <v>153</v>
      </c>
      <c r="N14" t="s">
        <v>159</v>
      </c>
      <c r="O14" t="s">
        <v>523</v>
      </c>
      <c r="P14" t="s">
        <v>168</v>
      </c>
      <c r="Q14" t="s">
        <v>515</v>
      </c>
      <c r="R14" t="s">
        <v>204</v>
      </c>
      <c r="S14">
        <v>0.7630887406508996</v>
      </c>
      <c r="T14">
        <v>137</v>
      </c>
      <c r="U14">
        <v>0</v>
      </c>
      <c r="V14">
        <v>2022</v>
      </c>
      <c r="W14" t="s">
        <v>323</v>
      </c>
      <c r="X14" t="s">
        <v>234</v>
      </c>
      <c r="Y14" s="2" t="s">
        <v>278</v>
      </c>
      <c r="AA14">
        <v>7.2992700729926996E-3</v>
      </c>
      <c r="AB14">
        <v>137</v>
      </c>
      <c r="AC14">
        <v>8.5435765771676095E-2</v>
      </c>
      <c r="AD14" s="8">
        <v>76.5</v>
      </c>
      <c r="AE14" s="8">
        <v>1</v>
      </c>
    </row>
    <row r="15" spans="1:31" x14ac:dyDescent="0.35">
      <c r="A15">
        <v>14</v>
      </c>
      <c r="B15">
        <v>13</v>
      </c>
      <c r="C15" t="s">
        <v>33</v>
      </c>
      <c r="D15" t="s">
        <v>67</v>
      </c>
      <c r="E15" t="s">
        <v>85</v>
      </c>
      <c r="F15" t="s">
        <v>97</v>
      </c>
      <c r="G15" t="str">
        <f t="shared" si="0"/>
        <v>NACE313233</v>
      </c>
      <c r="H15">
        <v>313233</v>
      </c>
      <c r="I15" t="s">
        <v>106</v>
      </c>
      <c r="J15" t="s">
        <v>115</v>
      </c>
      <c r="K15" t="s">
        <v>526</v>
      </c>
      <c r="L15" t="s">
        <v>140</v>
      </c>
      <c r="M15" t="s">
        <v>151</v>
      </c>
      <c r="N15" t="s">
        <v>160</v>
      </c>
      <c r="O15" t="s">
        <v>522</v>
      </c>
      <c r="P15" t="s">
        <v>165</v>
      </c>
      <c r="Q15" t="s">
        <v>515</v>
      </c>
      <c r="R15" t="s">
        <v>205</v>
      </c>
      <c r="S15">
        <v>0.40100000000000002</v>
      </c>
      <c r="T15">
        <v>257</v>
      </c>
      <c r="U15">
        <v>1</v>
      </c>
      <c r="V15">
        <v>2022</v>
      </c>
      <c r="W15" t="s">
        <v>324</v>
      </c>
      <c r="X15" t="s">
        <v>235</v>
      </c>
      <c r="Y15" s="2" t="s">
        <v>279</v>
      </c>
      <c r="AA15">
        <v>3.891050583657588E-3</v>
      </c>
      <c r="AB15">
        <v>257</v>
      </c>
      <c r="AC15">
        <v>6.237828615518054E-2</v>
      </c>
      <c r="AD15" s="8">
        <v>60</v>
      </c>
      <c r="AE15" s="8">
        <v>0</v>
      </c>
    </row>
    <row r="16" spans="1:31" x14ac:dyDescent="0.35">
      <c r="A16">
        <v>15</v>
      </c>
      <c r="B16">
        <v>13</v>
      </c>
      <c r="C16" t="s">
        <v>33</v>
      </c>
      <c r="D16" t="s">
        <v>67</v>
      </c>
      <c r="E16" t="s">
        <v>85</v>
      </c>
      <c r="F16" t="s">
        <v>97</v>
      </c>
      <c r="G16" t="str">
        <f t="shared" si="0"/>
        <v>NACE313233</v>
      </c>
      <c r="H16">
        <v>313233</v>
      </c>
      <c r="I16" t="s">
        <v>106</v>
      </c>
      <c r="J16" t="s">
        <v>116</v>
      </c>
      <c r="K16" t="s">
        <v>526</v>
      </c>
      <c r="L16" t="s">
        <v>140</v>
      </c>
      <c r="M16" t="s">
        <v>151</v>
      </c>
      <c r="N16" t="s">
        <v>160</v>
      </c>
      <c r="O16" t="s">
        <v>522</v>
      </c>
      <c r="P16" t="s">
        <v>165</v>
      </c>
      <c r="Q16" t="s">
        <v>515</v>
      </c>
      <c r="R16" t="s">
        <v>205</v>
      </c>
      <c r="S16">
        <v>0.30199999999999999</v>
      </c>
      <c r="T16">
        <v>257</v>
      </c>
      <c r="U16">
        <v>1</v>
      </c>
      <c r="V16">
        <v>2022</v>
      </c>
      <c r="W16" t="s">
        <v>324</v>
      </c>
      <c r="X16" t="s">
        <v>235</v>
      </c>
      <c r="Y16" s="2" t="s">
        <v>279</v>
      </c>
      <c r="AA16">
        <v>3.891050583657588E-3</v>
      </c>
      <c r="AB16">
        <v>257</v>
      </c>
      <c r="AC16">
        <v>6.237828615518054E-2</v>
      </c>
      <c r="AD16" s="8">
        <v>60</v>
      </c>
      <c r="AE16" s="8">
        <v>0</v>
      </c>
    </row>
    <row r="17" spans="1:31" x14ac:dyDescent="0.35">
      <c r="A17">
        <v>16</v>
      </c>
      <c r="B17">
        <v>14</v>
      </c>
      <c r="C17" t="s">
        <v>34</v>
      </c>
      <c r="D17" t="s">
        <v>67</v>
      </c>
      <c r="E17" t="s">
        <v>85</v>
      </c>
      <c r="F17" t="s">
        <v>99</v>
      </c>
      <c r="G17" t="str">
        <f t="shared" si="0"/>
        <v>NACE33</v>
      </c>
      <c r="H17">
        <v>33</v>
      </c>
      <c r="I17" t="s">
        <v>106</v>
      </c>
      <c r="J17" t="s">
        <v>117</v>
      </c>
      <c r="K17" t="s">
        <v>526</v>
      </c>
      <c r="L17" t="s">
        <v>140</v>
      </c>
      <c r="M17" t="s">
        <v>152</v>
      </c>
      <c r="N17" t="s">
        <v>156</v>
      </c>
      <c r="O17" t="s">
        <v>521</v>
      </c>
      <c r="P17" t="s">
        <v>167</v>
      </c>
      <c r="Q17" t="s">
        <v>517</v>
      </c>
      <c r="R17" t="s">
        <v>197</v>
      </c>
      <c r="S17">
        <v>0.39300000000000002</v>
      </c>
      <c r="T17">
        <v>200</v>
      </c>
      <c r="U17">
        <v>1</v>
      </c>
      <c r="V17">
        <v>2022</v>
      </c>
      <c r="W17" t="s">
        <v>325</v>
      </c>
      <c r="X17" t="s">
        <v>236</v>
      </c>
      <c r="Y17" s="2" t="s">
        <v>280</v>
      </c>
      <c r="AA17">
        <v>5.0000000000000001E-3</v>
      </c>
      <c r="AB17">
        <v>200</v>
      </c>
      <c r="AC17">
        <v>7.0710678118654752E-2</v>
      </c>
      <c r="AD17" s="8">
        <v>60</v>
      </c>
      <c r="AE17" s="8">
        <v>0</v>
      </c>
    </row>
    <row r="18" spans="1:31" x14ac:dyDescent="0.35">
      <c r="A18">
        <v>17</v>
      </c>
      <c r="B18">
        <v>15</v>
      </c>
      <c r="C18" t="s">
        <v>35</v>
      </c>
      <c r="D18" t="s">
        <v>72</v>
      </c>
      <c r="E18" t="s">
        <v>87</v>
      </c>
      <c r="F18" t="s">
        <v>100</v>
      </c>
      <c r="G18" t="str">
        <f t="shared" si="0"/>
        <v>NACE33</v>
      </c>
      <c r="H18">
        <v>33</v>
      </c>
      <c r="I18" t="s">
        <v>106</v>
      </c>
      <c r="J18" t="s">
        <v>118</v>
      </c>
      <c r="K18" t="s">
        <v>525</v>
      </c>
      <c r="L18" t="s">
        <v>118</v>
      </c>
      <c r="M18" t="s">
        <v>149</v>
      </c>
      <c r="N18" t="s">
        <v>156</v>
      </c>
      <c r="O18" t="s">
        <v>523</v>
      </c>
      <c r="P18" t="s">
        <v>168</v>
      </c>
      <c r="Q18" t="s">
        <v>515</v>
      </c>
      <c r="R18" t="s">
        <v>206</v>
      </c>
      <c r="S18">
        <v>0.42399999999999999</v>
      </c>
      <c r="T18">
        <v>92</v>
      </c>
      <c r="U18">
        <v>1</v>
      </c>
      <c r="V18">
        <v>2022</v>
      </c>
      <c r="W18" t="s">
        <v>326</v>
      </c>
      <c r="X18" t="s">
        <v>237</v>
      </c>
      <c r="Y18" s="2" t="s">
        <v>281</v>
      </c>
      <c r="Z18" t="s">
        <v>565</v>
      </c>
      <c r="AA18">
        <v>1.0869565217391301E-2</v>
      </c>
      <c r="AB18">
        <v>92</v>
      </c>
      <c r="AC18">
        <v>0.10425720702853736</v>
      </c>
      <c r="AD18" s="8">
        <v>47</v>
      </c>
      <c r="AE18" s="8">
        <v>0</v>
      </c>
    </row>
    <row r="19" spans="1:31" x14ac:dyDescent="0.35">
      <c r="A19">
        <v>18</v>
      </c>
      <c r="B19">
        <v>15</v>
      </c>
      <c r="C19" t="s">
        <v>35</v>
      </c>
      <c r="D19" t="s">
        <v>72</v>
      </c>
      <c r="E19" t="s">
        <v>87</v>
      </c>
      <c r="F19" t="s">
        <v>100</v>
      </c>
      <c r="G19" t="str">
        <f t="shared" si="0"/>
        <v>NACE33</v>
      </c>
      <c r="H19">
        <v>33</v>
      </c>
      <c r="I19" t="s">
        <v>106</v>
      </c>
      <c r="J19" t="s">
        <v>119</v>
      </c>
      <c r="K19" t="s">
        <v>525</v>
      </c>
      <c r="L19" t="s">
        <v>119</v>
      </c>
      <c r="M19" t="s">
        <v>149</v>
      </c>
      <c r="N19" t="s">
        <v>156</v>
      </c>
      <c r="O19" t="s">
        <v>523</v>
      </c>
      <c r="P19" t="s">
        <v>168</v>
      </c>
      <c r="Q19" t="s">
        <v>515</v>
      </c>
      <c r="R19" t="s">
        <v>206</v>
      </c>
      <c r="S19">
        <v>0.21</v>
      </c>
      <c r="T19">
        <v>92</v>
      </c>
      <c r="U19">
        <v>1</v>
      </c>
      <c r="V19">
        <v>2022</v>
      </c>
      <c r="W19" t="s">
        <v>326</v>
      </c>
      <c r="X19" t="s">
        <v>237</v>
      </c>
      <c r="Y19" s="2" t="s">
        <v>281</v>
      </c>
      <c r="Z19" t="s">
        <v>566</v>
      </c>
      <c r="AA19">
        <v>1.0869565217391301E-2</v>
      </c>
      <c r="AB19">
        <v>92</v>
      </c>
      <c r="AC19">
        <v>0.10425720702853736</v>
      </c>
      <c r="AD19" s="8">
        <v>47</v>
      </c>
      <c r="AE19" s="8">
        <v>0</v>
      </c>
    </row>
    <row r="20" spans="1:31" x14ac:dyDescent="0.35">
      <c r="A20">
        <v>19</v>
      </c>
      <c r="B20">
        <v>16</v>
      </c>
      <c r="C20" t="s">
        <v>36</v>
      </c>
      <c r="D20" t="s">
        <v>70</v>
      </c>
      <c r="E20" t="s">
        <v>88</v>
      </c>
      <c r="F20" t="s">
        <v>97</v>
      </c>
      <c r="G20" t="str">
        <f t="shared" si="0"/>
        <v>NACE33</v>
      </c>
      <c r="H20">
        <v>33</v>
      </c>
      <c r="I20" t="s">
        <v>106</v>
      </c>
      <c r="J20" t="s">
        <v>108</v>
      </c>
      <c r="K20" t="s">
        <v>525</v>
      </c>
      <c r="L20" t="s">
        <v>108</v>
      </c>
      <c r="M20" t="s">
        <v>149</v>
      </c>
      <c r="N20" t="s">
        <v>161</v>
      </c>
      <c r="O20" t="s">
        <v>523</v>
      </c>
      <c r="P20" t="s">
        <v>171</v>
      </c>
      <c r="Q20" t="s">
        <v>515</v>
      </c>
      <c r="R20" t="s">
        <v>204</v>
      </c>
      <c r="S20">
        <v>0.253</v>
      </c>
      <c r="T20">
        <v>156</v>
      </c>
      <c r="U20">
        <v>1</v>
      </c>
      <c r="V20">
        <v>2022</v>
      </c>
      <c r="W20" t="s">
        <v>327</v>
      </c>
      <c r="X20" t="s">
        <v>238</v>
      </c>
      <c r="Y20" s="2" t="s">
        <v>282</v>
      </c>
      <c r="Z20" t="s">
        <v>567</v>
      </c>
      <c r="AA20">
        <v>6.41025641025641E-3</v>
      </c>
      <c r="AB20">
        <v>156</v>
      </c>
      <c r="AC20">
        <v>8.0064076902543566E-2</v>
      </c>
      <c r="AD20" s="8">
        <v>70</v>
      </c>
      <c r="AE20" s="8">
        <v>1</v>
      </c>
    </row>
    <row r="21" spans="1:31" x14ac:dyDescent="0.35">
      <c r="A21">
        <v>20</v>
      </c>
      <c r="B21">
        <v>17</v>
      </c>
      <c r="C21" t="s">
        <v>37</v>
      </c>
      <c r="D21" t="s">
        <v>73</v>
      </c>
      <c r="E21" t="s">
        <v>86</v>
      </c>
      <c r="F21" t="s">
        <v>101</v>
      </c>
      <c r="G21" t="str">
        <f t="shared" si="0"/>
        <v>NACE33</v>
      </c>
      <c r="H21">
        <v>33</v>
      </c>
      <c r="I21" t="s">
        <v>106</v>
      </c>
      <c r="J21" t="s">
        <v>120</v>
      </c>
      <c r="K21" t="s">
        <v>526</v>
      </c>
      <c r="L21" t="s">
        <v>142</v>
      </c>
      <c r="M21" t="s">
        <v>149</v>
      </c>
      <c r="N21" t="s">
        <v>160</v>
      </c>
      <c r="O21" t="s">
        <v>522</v>
      </c>
      <c r="P21" t="s">
        <v>172</v>
      </c>
      <c r="Q21" t="s">
        <v>516</v>
      </c>
      <c r="R21" t="s">
        <v>142</v>
      </c>
      <c r="S21">
        <v>0.223</v>
      </c>
      <c r="T21">
        <v>205</v>
      </c>
      <c r="U21">
        <v>1</v>
      </c>
      <c r="V21">
        <v>2022</v>
      </c>
      <c r="W21" t="s">
        <v>328</v>
      </c>
      <c r="X21" t="s">
        <v>239</v>
      </c>
      <c r="Y21" s="2" t="s">
        <v>283</v>
      </c>
      <c r="AA21">
        <v>4.8780487804878049E-3</v>
      </c>
      <c r="AB21">
        <v>205</v>
      </c>
      <c r="AC21">
        <v>6.9843029576957816E-2</v>
      </c>
      <c r="AD21" s="8">
        <v>62</v>
      </c>
      <c r="AE21" s="8">
        <v>0</v>
      </c>
    </row>
    <row r="22" spans="1:31" x14ac:dyDescent="0.35">
      <c r="A22">
        <v>21</v>
      </c>
      <c r="B22">
        <v>17</v>
      </c>
      <c r="C22" t="s">
        <v>37</v>
      </c>
      <c r="D22" t="s">
        <v>73</v>
      </c>
      <c r="E22" t="s">
        <v>86</v>
      </c>
      <c r="F22" t="s">
        <v>101</v>
      </c>
      <c r="G22" t="str">
        <f t="shared" si="0"/>
        <v>NACE33</v>
      </c>
      <c r="H22">
        <v>33</v>
      </c>
      <c r="I22" t="s">
        <v>106</v>
      </c>
      <c r="J22" t="s">
        <v>120</v>
      </c>
      <c r="K22" t="s">
        <v>526</v>
      </c>
      <c r="L22" t="s">
        <v>142</v>
      </c>
      <c r="M22" t="s">
        <v>149</v>
      </c>
      <c r="N22" t="s">
        <v>160</v>
      </c>
      <c r="O22" t="s">
        <v>522</v>
      </c>
      <c r="P22" t="s">
        <v>173</v>
      </c>
      <c r="Q22" t="s">
        <v>516</v>
      </c>
      <c r="R22" t="s">
        <v>142</v>
      </c>
      <c r="S22">
        <v>0.29799999999999999</v>
      </c>
      <c r="T22">
        <v>205</v>
      </c>
      <c r="U22">
        <v>1</v>
      </c>
      <c r="V22">
        <v>2022</v>
      </c>
      <c r="W22" t="s">
        <v>328</v>
      </c>
      <c r="X22" t="s">
        <v>239</v>
      </c>
      <c r="Y22" s="2" t="s">
        <v>283</v>
      </c>
      <c r="AA22">
        <v>4.8780487804878049E-3</v>
      </c>
      <c r="AB22">
        <v>205</v>
      </c>
      <c r="AC22">
        <v>6.9843029576957816E-2</v>
      </c>
      <c r="AD22" s="8">
        <v>62</v>
      </c>
      <c r="AE22" s="8">
        <v>0</v>
      </c>
    </row>
    <row r="23" spans="1:31" x14ac:dyDescent="0.35">
      <c r="A23">
        <v>22</v>
      </c>
      <c r="B23">
        <v>17</v>
      </c>
      <c r="C23" t="s">
        <v>37</v>
      </c>
      <c r="D23" t="s">
        <v>73</v>
      </c>
      <c r="E23" t="s">
        <v>86</v>
      </c>
      <c r="F23" t="s">
        <v>101</v>
      </c>
      <c r="G23" t="str">
        <f t="shared" si="0"/>
        <v>NACE33</v>
      </c>
      <c r="H23">
        <v>33</v>
      </c>
      <c r="I23" t="s">
        <v>106</v>
      </c>
      <c r="J23" t="s">
        <v>120</v>
      </c>
      <c r="K23" t="s">
        <v>526</v>
      </c>
      <c r="L23" t="s">
        <v>142</v>
      </c>
      <c r="M23" t="s">
        <v>149</v>
      </c>
      <c r="N23" t="s">
        <v>160</v>
      </c>
      <c r="O23" t="s">
        <v>521</v>
      </c>
      <c r="P23" t="s">
        <v>174</v>
      </c>
      <c r="Q23" t="s">
        <v>516</v>
      </c>
      <c r="R23" t="s">
        <v>142</v>
      </c>
      <c r="S23">
        <v>0.5</v>
      </c>
      <c r="T23">
        <v>205</v>
      </c>
      <c r="U23">
        <v>1</v>
      </c>
      <c r="V23">
        <v>2022</v>
      </c>
      <c r="W23" t="s">
        <v>328</v>
      </c>
      <c r="X23" t="s">
        <v>239</v>
      </c>
      <c r="Y23" s="2" t="s">
        <v>283</v>
      </c>
      <c r="AA23">
        <v>4.8780487804878049E-3</v>
      </c>
      <c r="AB23">
        <v>205</v>
      </c>
      <c r="AC23">
        <v>6.9843029576957816E-2</v>
      </c>
      <c r="AD23" s="8">
        <v>62</v>
      </c>
      <c r="AE23" s="8">
        <v>0</v>
      </c>
    </row>
    <row r="24" spans="1:31" x14ac:dyDescent="0.35">
      <c r="A24">
        <v>23</v>
      </c>
      <c r="B24">
        <v>18</v>
      </c>
      <c r="C24" t="s">
        <v>38</v>
      </c>
      <c r="D24" t="s">
        <v>74</v>
      </c>
      <c r="E24" t="s">
        <v>86</v>
      </c>
      <c r="F24" t="s">
        <v>97</v>
      </c>
      <c r="G24" t="str">
        <f t="shared" si="0"/>
        <v>NACE313233</v>
      </c>
      <c r="H24">
        <v>313233</v>
      </c>
      <c r="I24" t="s">
        <v>106</v>
      </c>
      <c r="J24" t="s">
        <v>121</v>
      </c>
      <c r="K24" t="s">
        <v>527</v>
      </c>
      <c r="L24" t="s">
        <v>144</v>
      </c>
      <c r="M24" t="s">
        <v>151</v>
      </c>
      <c r="N24" t="s">
        <v>157</v>
      </c>
      <c r="O24" t="s">
        <v>522</v>
      </c>
      <c r="P24" t="s">
        <v>165</v>
      </c>
      <c r="Q24" t="s">
        <v>516</v>
      </c>
      <c r="R24" t="s">
        <v>142</v>
      </c>
      <c r="S24">
        <v>0.69499999999999995</v>
      </c>
      <c r="T24">
        <v>462</v>
      </c>
      <c r="U24">
        <v>1</v>
      </c>
      <c r="V24">
        <v>2022</v>
      </c>
      <c r="W24" t="s">
        <v>329</v>
      </c>
      <c r="X24" t="s">
        <v>240</v>
      </c>
      <c r="Y24" s="2" t="s">
        <v>284</v>
      </c>
      <c r="AA24">
        <v>2.1645021645021649E-3</v>
      </c>
      <c r="AB24">
        <v>462</v>
      </c>
      <c r="AC24">
        <v>4.6524210519923545E-2</v>
      </c>
      <c r="AD24" s="8">
        <v>62</v>
      </c>
      <c r="AE24" s="8">
        <v>0</v>
      </c>
    </row>
    <row r="25" spans="1:31" x14ac:dyDescent="0.35">
      <c r="A25">
        <v>24</v>
      </c>
      <c r="B25">
        <v>18</v>
      </c>
      <c r="C25" t="s">
        <v>38</v>
      </c>
      <c r="D25" t="s">
        <v>74</v>
      </c>
      <c r="E25" t="s">
        <v>86</v>
      </c>
      <c r="F25" t="s">
        <v>97</v>
      </c>
      <c r="G25" t="str">
        <f t="shared" si="0"/>
        <v>NACE313233</v>
      </c>
      <c r="H25">
        <v>313233</v>
      </c>
      <c r="I25" t="s">
        <v>106</v>
      </c>
      <c r="J25" t="s">
        <v>121</v>
      </c>
      <c r="K25" t="s">
        <v>527</v>
      </c>
      <c r="L25" t="s">
        <v>144</v>
      </c>
      <c r="M25" t="s">
        <v>151</v>
      </c>
      <c r="N25" t="s">
        <v>157</v>
      </c>
      <c r="O25" t="s">
        <v>521</v>
      </c>
      <c r="P25" t="s">
        <v>175</v>
      </c>
      <c r="Q25" t="s">
        <v>516</v>
      </c>
      <c r="R25" t="s">
        <v>142</v>
      </c>
      <c r="S25">
        <v>0.40200000000000002</v>
      </c>
      <c r="T25">
        <v>462</v>
      </c>
      <c r="U25">
        <v>1</v>
      </c>
      <c r="V25">
        <v>2022</v>
      </c>
      <c r="W25" t="s">
        <v>329</v>
      </c>
      <c r="X25" t="s">
        <v>240</v>
      </c>
      <c r="Y25" s="2" t="s">
        <v>284</v>
      </c>
      <c r="AA25">
        <v>2.1645021645021649E-3</v>
      </c>
      <c r="AB25">
        <v>462</v>
      </c>
      <c r="AC25">
        <v>4.6524210519923545E-2</v>
      </c>
      <c r="AD25" s="8">
        <v>62</v>
      </c>
      <c r="AE25" s="8">
        <v>0</v>
      </c>
    </row>
    <row r="26" spans="1:31" x14ac:dyDescent="0.35">
      <c r="A26">
        <v>25</v>
      </c>
      <c r="B26">
        <v>19</v>
      </c>
      <c r="C26" t="s">
        <v>39</v>
      </c>
      <c r="D26" t="s">
        <v>67</v>
      </c>
      <c r="E26" t="s">
        <v>89</v>
      </c>
      <c r="F26" t="s">
        <v>97</v>
      </c>
      <c r="G26" t="str">
        <f t="shared" si="0"/>
        <v>NACE313233</v>
      </c>
      <c r="H26">
        <v>313233</v>
      </c>
      <c r="I26" t="s">
        <v>106</v>
      </c>
      <c r="J26" t="s">
        <v>122</v>
      </c>
      <c r="K26" t="s">
        <v>525</v>
      </c>
      <c r="L26" t="s">
        <v>122</v>
      </c>
      <c r="M26" t="s">
        <v>149</v>
      </c>
      <c r="N26" t="s">
        <v>156</v>
      </c>
      <c r="O26" t="s">
        <v>521</v>
      </c>
      <c r="P26" t="s">
        <v>176</v>
      </c>
      <c r="Q26" t="s">
        <v>517</v>
      </c>
      <c r="R26" t="s">
        <v>197</v>
      </c>
      <c r="S26">
        <v>0.17384273296947639</v>
      </c>
      <c r="T26">
        <v>240</v>
      </c>
      <c r="U26">
        <v>0</v>
      </c>
      <c r="V26">
        <v>2022</v>
      </c>
      <c r="W26" t="s">
        <v>330</v>
      </c>
      <c r="X26" t="s">
        <v>241</v>
      </c>
      <c r="Y26" s="2" t="s">
        <v>285</v>
      </c>
      <c r="AA26">
        <v>4.1666666666666666E-3</v>
      </c>
      <c r="AB26">
        <v>240</v>
      </c>
      <c r="AC26">
        <v>6.4549722436790274E-2</v>
      </c>
      <c r="AD26" s="8">
        <v>45</v>
      </c>
      <c r="AE26" s="8">
        <v>0</v>
      </c>
    </row>
    <row r="27" spans="1:31" x14ac:dyDescent="0.35">
      <c r="A27">
        <v>26</v>
      </c>
      <c r="B27">
        <v>20</v>
      </c>
      <c r="C27" t="s">
        <v>40</v>
      </c>
      <c r="D27" t="s">
        <v>67</v>
      </c>
      <c r="E27" t="s">
        <v>87</v>
      </c>
      <c r="F27" t="s">
        <v>529</v>
      </c>
      <c r="G27" t="str">
        <f t="shared" si="0"/>
        <v>NACE33</v>
      </c>
      <c r="H27">
        <v>33</v>
      </c>
      <c r="I27" t="s">
        <v>106</v>
      </c>
      <c r="J27" t="s">
        <v>123</v>
      </c>
      <c r="K27" t="s">
        <v>526</v>
      </c>
      <c r="L27" t="s">
        <v>142</v>
      </c>
      <c r="M27" t="s">
        <v>151</v>
      </c>
      <c r="N27" t="s">
        <v>161</v>
      </c>
      <c r="O27" t="s">
        <v>521</v>
      </c>
      <c r="P27" t="s">
        <v>177</v>
      </c>
      <c r="Q27" t="s">
        <v>517</v>
      </c>
      <c r="R27" t="s">
        <v>198</v>
      </c>
      <c r="S27">
        <v>0.441</v>
      </c>
      <c r="T27">
        <v>67</v>
      </c>
      <c r="U27">
        <v>1</v>
      </c>
      <c r="V27">
        <v>2022</v>
      </c>
      <c r="W27" t="s">
        <v>331</v>
      </c>
      <c r="X27" t="s">
        <v>242</v>
      </c>
      <c r="Y27" s="2" t="s">
        <v>286</v>
      </c>
      <c r="AA27">
        <v>1.492537313432836E-2</v>
      </c>
      <c r="AB27">
        <v>67</v>
      </c>
      <c r="AC27">
        <v>0.12216944435630522</v>
      </c>
      <c r="AD27" s="8">
        <v>47</v>
      </c>
      <c r="AE27" s="8">
        <v>0</v>
      </c>
    </row>
    <row r="28" spans="1:31" x14ac:dyDescent="0.35">
      <c r="A28">
        <v>27</v>
      </c>
      <c r="B28">
        <v>20</v>
      </c>
      <c r="C28" t="s">
        <v>40</v>
      </c>
      <c r="D28" t="s">
        <v>75</v>
      </c>
      <c r="E28" t="s">
        <v>87</v>
      </c>
      <c r="F28" t="s">
        <v>529</v>
      </c>
      <c r="G28" t="str">
        <f t="shared" si="0"/>
        <v>NACE33</v>
      </c>
      <c r="H28">
        <v>33</v>
      </c>
      <c r="I28" t="s">
        <v>106</v>
      </c>
      <c r="J28" t="s">
        <v>123</v>
      </c>
      <c r="K28" t="s">
        <v>526</v>
      </c>
      <c r="L28" t="s">
        <v>142</v>
      </c>
      <c r="M28" t="s">
        <v>151</v>
      </c>
      <c r="N28" t="s">
        <v>161</v>
      </c>
      <c r="O28" t="s">
        <v>521</v>
      </c>
      <c r="P28" t="s">
        <v>177</v>
      </c>
      <c r="Q28" t="s">
        <v>515</v>
      </c>
      <c r="R28" t="s">
        <v>207</v>
      </c>
      <c r="S28">
        <v>0.67300000000000004</v>
      </c>
      <c r="T28">
        <v>67</v>
      </c>
      <c r="U28">
        <v>1</v>
      </c>
      <c r="V28">
        <v>2022</v>
      </c>
      <c r="W28" t="s">
        <v>331</v>
      </c>
      <c r="X28" t="s">
        <v>242</v>
      </c>
      <c r="Y28" s="2" t="s">
        <v>286</v>
      </c>
      <c r="AA28">
        <v>1.492537313432836E-2</v>
      </c>
      <c r="AB28">
        <v>67</v>
      </c>
      <c r="AC28">
        <v>0.12216944435630522</v>
      </c>
      <c r="AD28" s="8">
        <v>47</v>
      </c>
      <c r="AE28" s="8">
        <v>0</v>
      </c>
    </row>
    <row r="29" spans="1:31" x14ac:dyDescent="0.35">
      <c r="A29">
        <v>28</v>
      </c>
      <c r="B29">
        <v>21</v>
      </c>
      <c r="C29" t="s">
        <v>41</v>
      </c>
      <c r="D29" t="s">
        <v>70</v>
      </c>
      <c r="E29" t="s">
        <v>90</v>
      </c>
      <c r="F29" t="s">
        <v>77</v>
      </c>
      <c r="G29" t="str">
        <f t="shared" si="0"/>
        <v>NACE33</v>
      </c>
      <c r="H29">
        <v>33</v>
      </c>
      <c r="I29" t="s">
        <v>106</v>
      </c>
      <c r="J29" t="s">
        <v>124</v>
      </c>
      <c r="K29" t="s">
        <v>525</v>
      </c>
      <c r="L29" t="s">
        <v>134</v>
      </c>
      <c r="M29" t="s">
        <v>151</v>
      </c>
      <c r="N29" t="s">
        <v>161</v>
      </c>
      <c r="O29" t="s">
        <v>521</v>
      </c>
      <c r="P29" t="s">
        <v>178</v>
      </c>
      <c r="Q29" t="s">
        <v>516</v>
      </c>
      <c r="R29" t="s">
        <v>205</v>
      </c>
      <c r="S29">
        <v>0.33700000000000002</v>
      </c>
      <c r="T29">
        <v>438</v>
      </c>
      <c r="U29">
        <v>1</v>
      </c>
      <c r="V29">
        <v>2023</v>
      </c>
      <c r="W29" t="s">
        <v>332</v>
      </c>
      <c r="X29" t="s">
        <v>243</v>
      </c>
      <c r="Y29" s="2" t="s">
        <v>287</v>
      </c>
      <c r="AA29">
        <v>2.2831050228310501E-3</v>
      </c>
      <c r="AB29">
        <v>438</v>
      </c>
      <c r="AC29">
        <v>4.7781848256749658E-2</v>
      </c>
      <c r="AD29" s="8">
        <v>37</v>
      </c>
      <c r="AE29" s="8">
        <v>0</v>
      </c>
    </row>
    <row r="30" spans="1:31" x14ac:dyDescent="0.35">
      <c r="A30">
        <v>29</v>
      </c>
      <c r="B30">
        <v>21</v>
      </c>
      <c r="C30" t="s">
        <v>41</v>
      </c>
      <c r="D30" t="s">
        <v>70</v>
      </c>
      <c r="E30" t="s">
        <v>90</v>
      </c>
      <c r="F30" t="s">
        <v>77</v>
      </c>
      <c r="G30" t="str">
        <f t="shared" si="0"/>
        <v>NACE33</v>
      </c>
      <c r="H30">
        <v>33</v>
      </c>
      <c r="I30" t="s">
        <v>106</v>
      </c>
      <c r="J30" t="s">
        <v>124</v>
      </c>
      <c r="K30" t="s">
        <v>525</v>
      </c>
      <c r="L30" t="s">
        <v>134</v>
      </c>
      <c r="M30" t="s">
        <v>151</v>
      </c>
      <c r="N30" t="s">
        <v>161</v>
      </c>
      <c r="O30" t="s">
        <v>521</v>
      </c>
      <c r="P30" t="s">
        <v>178</v>
      </c>
      <c r="Q30" t="s">
        <v>516</v>
      </c>
      <c r="R30" t="s">
        <v>142</v>
      </c>
      <c r="S30">
        <v>0.45300000000000001</v>
      </c>
      <c r="T30">
        <v>438</v>
      </c>
      <c r="U30">
        <v>1</v>
      </c>
      <c r="V30">
        <v>2023</v>
      </c>
      <c r="W30" t="s">
        <v>332</v>
      </c>
      <c r="X30" t="s">
        <v>243</v>
      </c>
      <c r="Y30" s="2" t="s">
        <v>287</v>
      </c>
      <c r="AA30">
        <v>2.2831050228310501E-3</v>
      </c>
      <c r="AB30">
        <v>438</v>
      </c>
      <c r="AC30">
        <v>4.7781848256749658E-2</v>
      </c>
      <c r="AD30" s="8">
        <v>37</v>
      </c>
      <c r="AE30" s="8">
        <v>0</v>
      </c>
    </row>
    <row r="31" spans="1:31" x14ac:dyDescent="0.35">
      <c r="A31">
        <v>30</v>
      </c>
      <c r="B31">
        <v>22</v>
      </c>
      <c r="C31" t="s">
        <v>42</v>
      </c>
      <c r="D31" t="s">
        <v>69</v>
      </c>
      <c r="E31" t="s">
        <v>364</v>
      </c>
      <c r="F31" t="s">
        <v>97</v>
      </c>
      <c r="G31" t="str">
        <f t="shared" si="0"/>
        <v>NACE313233</v>
      </c>
      <c r="H31">
        <v>313233</v>
      </c>
      <c r="I31" t="s">
        <v>106</v>
      </c>
      <c r="J31" t="s">
        <v>125</v>
      </c>
      <c r="K31" t="s">
        <v>526</v>
      </c>
      <c r="L31" t="s">
        <v>140</v>
      </c>
      <c r="M31" t="s">
        <v>151</v>
      </c>
      <c r="N31" t="s">
        <v>157</v>
      </c>
      <c r="O31" t="s">
        <v>522</v>
      </c>
      <c r="P31" t="s">
        <v>165</v>
      </c>
      <c r="Q31" t="s">
        <v>515</v>
      </c>
      <c r="R31" t="s">
        <v>208</v>
      </c>
      <c r="S31">
        <v>0.13</v>
      </c>
      <c r="T31">
        <v>246</v>
      </c>
      <c r="U31">
        <v>1</v>
      </c>
      <c r="V31">
        <v>2023</v>
      </c>
      <c r="W31" t="s">
        <v>333</v>
      </c>
      <c r="X31" t="s">
        <v>244</v>
      </c>
      <c r="Y31" s="2" t="s">
        <v>288</v>
      </c>
      <c r="AA31">
        <v>4.0650406504065036E-3</v>
      </c>
      <c r="AB31">
        <v>246</v>
      </c>
      <c r="AC31">
        <v>6.3757671306333821E-2</v>
      </c>
      <c r="AD31" s="8">
        <v>60.855820895522385</v>
      </c>
      <c r="AE31" s="8">
        <v>0.23472537313432834</v>
      </c>
    </row>
    <row r="32" spans="1:31" x14ac:dyDescent="0.35">
      <c r="A32">
        <v>31</v>
      </c>
      <c r="B32">
        <v>22</v>
      </c>
      <c r="C32" t="s">
        <v>42</v>
      </c>
      <c r="D32" t="s">
        <v>69</v>
      </c>
      <c r="E32" t="s">
        <v>364</v>
      </c>
      <c r="F32" t="s">
        <v>97</v>
      </c>
      <c r="G32" t="str">
        <f t="shared" si="0"/>
        <v>NACE313233</v>
      </c>
      <c r="H32">
        <v>313233</v>
      </c>
      <c r="I32" t="s">
        <v>106</v>
      </c>
      <c r="J32" t="s">
        <v>126</v>
      </c>
      <c r="K32" t="s">
        <v>526</v>
      </c>
      <c r="L32" t="s">
        <v>140</v>
      </c>
      <c r="M32" t="s">
        <v>151</v>
      </c>
      <c r="N32" t="s">
        <v>157</v>
      </c>
      <c r="O32" t="s">
        <v>522</v>
      </c>
      <c r="P32" t="s">
        <v>165</v>
      </c>
      <c r="Q32" t="s">
        <v>515</v>
      </c>
      <c r="R32" t="s">
        <v>208</v>
      </c>
      <c r="S32">
        <v>0.19</v>
      </c>
      <c r="T32">
        <v>246</v>
      </c>
      <c r="U32">
        <v>1</v>
      </c>
      <c r="V32">
        <v>2023</v>
      </c>
      <c r="W32" t="s">
        <v>333</v>
      </c>
      <c r="X32" t="s">
        <v>244</v>
      </c>
      <c r="Y32" s="2" t="s">
        <v>288</v>
      </c>
      <c r="AA32">
        <v>4.0650406504065036E-3</v>
      </c>
      <c r="AB32">
        <v>246</v>
      </c>
      <c r="AC32">
        <v>6.3757671306333821E-2</v>
      </c>
      <c r="AD32" s="8">
        <v>60.855820895522385</v>
      </c>
      <c r="AE32" s="8">
        <v>0.23472537313432834</v>
      </c>
    </row>
    <row r="33" spans="1:31" x14ac:dyDescent="0.35">
      <c r="A33">
        <v>32</v>
      </c>
      <c r="B33">
        <v>23</v>
      </c>
      <c r="C33" t="s">
        <v>43</v>
      </c>
      <c r="D33" t="s">
        <v>75</v>
      </c>
      <c r="E33" t="s">
        <v>91</v>
      </c>
      <c r="F33" t="s">
        <v>97</v>
      </c>
      <c r="G33" t="str">
        <f t="shared" si="0"/>
        <v>NACE313233</v>
      </c>
      <c r="H33">
        <v>313233</v>
      </c>
      <c r="I33" t="s">
        <v>106</v>
      </c>
      <c r="J33" t="s">
        <v>120</v>
      </c>
      <c r="K33" t="s">
        <v>527</v>
      </c>
      <c r="L33" t="s">
        <v>144</v>
      </c>
      <c r="M33" t="s">
        <v>151</v>
      </c>
      <c r="N33" t="s">
        <v>157</v>
      </c>
      <c r="O33" t="s">
        <v>522</v>
      </c>
      <c r="P33" t="s">
        <v>165</v>
      </c>
      <c r="Q33" t="s">
        <v>517</v>
      </c>
      <c r="R33" t="s">
        <v>198</v>
      </c>
      <c r="S33">
        <v>0.439</v>
      </c>
      <c r="T33">
        <v>204</v>
      </c>
      <c r="U33">
        <v>1</v>
      </c>
      <c r="V33">
        <v>2023</v>
      </c>
      <c r="W33" t="s">
        <v>334</v>
      </c>
      <c r="X33" t="s">
        <v>245</v>
      </c>
      <c r="Y33" s="2" t="s">
        <v>289</v>
      </c>
      <c r="AA33">
        <v>4.9019607843137254E-3</v>
      </c>
      <c r="AB33">
        <v>204</v>
      </c>
      <c r="AC33">
        <v>7.0014004201400484E-2</v>
      </c>
      <c r="AD33" s="8">
        <v>72.5</v>
      </c>
      <c r="AE33" s="8">
        <v>1</v>
      </c>
    </row>
    <row r="34" spans="1:31" x14ac:dyDescent="0.35">
      <c r="A34">
        <v>33</v>
      </c>
      <c r="B34">
        <v>23</v>
      </c>
      <c r="C34" t="s">
        <v>43</v>
      </c>
      <c r="D34" t="s">
        <v>75</v>
      </c>
      <c r="E34" t="s">
        <v>91</v>
      </c>
      <c r="F34" t="s">
        <v>97</v>
      </c>
      <c r="G34" t="str">
        <f t="shared" si="0"/>
        <v>NACE313233</v>
      </c>
      <c r="H34">
        <v>313233</v>
      </c>
      <c r="I34" t="s">
        <v>106</v>
      </c>
      <c r="J34" t="s">
        <v>120</v>
      </c>
      <c r="K34" t="s">
        <v>527</v>
      </c>
      <c r="L34" t="s">
        <v>144</v>
      </c>
      <c r="M34" t="s">
        <v>151</v>
      </c>
      <c r="N34" t="s">
        <v>157</v>
      </c>
      <c r="O34" t="s">
        <v>521</v>
      </c>
      <c r="P34" t="s">
        <v>179</v>
      </c>
      <c r="Q34" t="s">
        <v>517</v>
      </c>
      <c r="R34" t="s">
        <v>198</v>
      </c>
      <c r="S34">
        <v>0.17399999999999999</v>
      </c>
      <c r="T34">
        <v>204</v>
      </c>
      <c r="U34">
        <v>1</v>
      </c>
      <c r="V34">
        <v>2023</v>
      </c>
      <c r="W34" t="s">
        <v>335</v>
      </c>
      <c r="X34" t="s">
        <v>245</v>
      </c>
      <c r="Y34" s="2" t="s">
        <v>289</v>
      </c>
      <c r="AA34">
        <v>4.9019607843137254E-3</v>
      </c>
      <c r="AB34">
        <v>204</v>
      </c>
      <c r="AC34">
        <v>7.0014004201400484E-2</v>
      </c>
      <c r="AD34" s="8">
        <v>72.5</v>
      </c>
      <c r="AE34" s="8">
        <v>1</v>
      </c>
    </row>
    <row r="35" spans="1:31" x14ac:dyDescent="0.35">
      <c r="A35">
        <v>34</v>
      </c>
      <c r="B35">
        <v>23</v>
      </c>
      <c r="C35" t="s">
        <v>43</v>
      </c>
      <c r="D35" t="s">
        <v>75</v>
      </c>
      <c r="E35" t="s">
        <v>91</v>
      </c>
      <c r="F35" t="s">
        <v>97</v>
      </c>
      <c r="G35" t="str">
        <f t="shared" si="0"/>
        <v>NACE313233</v>
      </c>
      <c r="H35">
        <v>313233</v>
      </c>
      <c r="I35" t="s">
        <v>106</v>
      </c>
      <c r="J35" t="s">
        <v>120</v>
      </c>
      <c r="K35" t="s">
        <v>527</v>
      </c>
      <c r="L35" t="s">
        <v>144</v>
      </c>
      <c r="M35" t="s">
        <v>151</v>
      </c>
      <c r="N35" t="s">
        <v>157</v>
      </c>
      <c r="O35" t="s">
        <v>521</v>
      </c>
      <c r="P35" t="s">
        <v>180</v>
      </c>
      <c r="Q35" t="s">
        <v>517</v>
      </c>
      <c r="R35" t="s">
        <v>198</v>
      </c>
      <c r="S35">
        <v>0.28299999999999997</v>
      </c>
      <c r="T35">
        <v>204</v>
      </c>
      <c r="U35">
        <v>1</v>
      </c>
      <c r="V35">
        <v>2023</v>
      </c>
      <c r="W35" t="s">
        <v>335</v>
      </c>
      <c r="X35" t="s">
        <v>245</v>
      </c>
      <c r="Y35" s="2" t="s">
        <v>289</v>
      </c>
      <c r="AA35">
        <v>4.9019607843137254E-3</v>
      </c>
      <c r="AB35">
        <v>204</v>
      </c>
      <c r="AC35">
        <v>7.0014004201400484E-2</v>
      </c>
      <c r="AD35" s="8">
        <v>72.5</v>
      </c>
      <c r="AE35" s="8">
        <v>1</v>
      </c>
    </row>
    <row r="36" spans="1:31" x14ac:dyDescent="0.35">
      <c r="A36">
        <v>35</v>
      </c>
      <c r="B36">
        <v>24</v>
      </c>
      <c r="C36" t="s">
        <v>44</v>
      </c>
      <c r="D36" t="s">
        <v>75</v>
      </c>
      <c r="E36" t="s">
        <v>92</v>
      </c>
      <c r="F36" t="s">
        <v>97</v>
      </c>
      <c r="G36" t="str">
        <f t="shared" si="0"/>
        <v>NACE33</v>
      </c>
      <c r="H36">
        <v>33</v>
      </c>
      <c r="I36" t="s">
        <v>106</v>
      </c>
      <c r="J36" t="s">
        <v>127</v>
      </c>
      <c r="K36" t="s">
        <v>526</v>
      </c>
      <c r="L36" t="s">
        <v>140</v>
      </c>
      <c r="M36" t="s">
        <v>151</v>
      </c>
      <c r="N36" t="s">
        <v>157</v>
      </c>
      <c r="O36" t="s">
        <v>522</v>
      </c>
      <c r="P36" t="s">
        <v>181</v>
      </c>
      <c r="Q36" t="s">
        <v>517</v>
      </c>
      <c r="R36" t="s">
        <v>198</v>
      </c>
      <c r="S36">
        <v>0.33200000000000002</v>
      </c>
      <c r="T36">
        <v>270</v>
      </c>
      <c r="U36">
        <v>1</v>
      </c>
      <c r="V36">
        <v>2023</v>
      </c>
      <c r="W36" t="s">
        <v>336</v>
      </c>
      <c r="X36" t="s">
        <v>246</v>
      </c>
      <c r="Y36" s="2" t="s">
        <v>290</v>
      </c>
      <c r="AA36">
        <v>3.7037037037037038E-3</v>
      </c>
      <c r="AB36">
        <v>270</v>
      </c>
      <c r="AC36">
        <v>6.0858061945018457E-2</v>
      </c>
      <c r="AD36" s="8">
        <v>77.3</v>
      </c>
      <c r="AE36" s="8">
        <v>1</v>
      </c>
    </row>
    <row r="37" spans="1:31" x14ac:dyDescent="0.35">
      <c r="A37">
        <v>36</v>
      </c>
      <c r="B37">
        <v>24</v>
      </c>
      <c r="C37" t="s">
        <v>44</v>
      </c>
      <c r="D37" t="s">
        <v>75</v>
      </c>
      <c r="E37" t="s">
        <v>92</v>
      </c>
      <c r="F37" t="s">
        <v>97</v>
      </c>
      <c r="G37" t="str">
        <f t="shared" si="0"/>
        <v>NACE33</v>
      </c>
      <c r="H37">
        <v>33</v>
      </c>
      <c r="I37" t="s">
        <v>106</v>
      </c>
      <c r="J37" t="s">
        <v>127</v>
      </c>
      <c r="K37" t="s">
        <v>526</v>
      </c>
      <c r="L37" t="s">
        <v>140</v>
      </c>
      <c r="M37" t="s">
        <v>151</v>
      </c>
      <c r="N37" t="s">
        <v>157</v>
      </c>
      <c r="O37" t="s">
        <v>522</v>
      </c>
      <c r="P37" t="s">
        <v>182</v>
      </c>
      <c r="Q37" t="s">
        <v>517</v>
      </c>
      <c r="R37" t="s">
        <v>198</v>
      </c>
      <c r="S37">
        <v>0.3</v>
      </c>
      <c r="T37">
        <v>270</v>
      </c>
      <c r="U37">
        <v>1</v>
      </c>
      <c r="V37">
        <v>2023</v>
      </c>
      <c r="W37" t="s">
        <v>337</v>
      </c>
      <c r="X37" t="s">
        <v>246</v>
      </c>
      <c r="Y37" s="2" t="s">
        <v>290</v>
      </c>
      <c r="AA37">
        <v>3.7037037037037038E-3</v>
      </c>
      <c r="AB37">
        <v>270</v>
      </c>
      <c r="AC37">
        <v>6.0858061945018457E-2</v>
      </c>
      <c r="AD37" s="8">
        <v>77.3</v>
      </c>
      <c r="AE37" s="8">
        <v>1</v>
      </c>
    </row>
    <row r="38" spans="1:31" x14ac:dyDescent="0.35">
      <c r="A38">
        <v>37</v>
      </c>
      <c r="B38">
        <v>25</v>
      </c>
      <c r="C38" t="s">
        <v>45</v>
      </c>
      <c r="D38" t="s">
        <v>76</v>
      </c>
      <c r="E38" t="s">
        <v>86</v>
      </c>
      <c r="F38" t="s">
        <v>102</v>
      </c>
      <c r="G38" t="str">
        <f t="shared" si="0"/>
        <v>NACE3233</v>
      </c>
      <c r="H38">
        <v>3233</v>
      </c>
      <c r="I38" t="s">
        <v>106</v>
      </c>
      <c r="J38" t="s">
        <v>128</v>
      </c>
      <c r="K38" t="s">
        <v>526</v>
      </c>
      <c r="L38" t="s">
        <v>140</v>
      </c>
      <c r="M38" t="s">
        <v>151</v>
      </c>
      <c r="N38" t="s">
        <v>157</v>
      </c>
      <c r="O38" t="s">
        <v>521</v>
      </c>
      <c r="P38" t="s">
        <v>183</v>
      </c>
      <c r="Q38" t="s">
        <v>517</v>
      </c>
      <c r="R38" t="s">
        <v>203</v>
      </c>
      <c r="S38">
        <v>0.29799999999999999</v>
      </c>
      <c r="T38">
        <v>223</v>
      </c>
      <c r="U38">
        <v>1</v>
      </c>
      <c r="V38">
        <v>2023</v>
      </c>
      <c r="W38" t="s">
        <v>338</v>
      </c>
      <c r="X38" t="s">
        <v>247</v>
      </c>
      <c r="Y38" s="2" t="s">
        <v>291</v>
      </c>
      <c r="AA38">
        <v>4.4843049327354259E-3</v>
      </c>
      <c r="AB38">
        <v>223</v>
      </c>
      <c r="AC38">
        <v>6.6964953018242498E-2</v>
      </c>
      <c r="AD38" s="8">
        <v>62</v>
      </c>
      <c r="AE38" s="8">
        <v>0</v>
      </c>
    </row>
    <row r="39" spans="1:31" x14ac:dyDescent="0.35">
      <c r="A39">
        <v>38</v>
      </c>
      <c r="B39">
        <v>26</v>
      </c>
      <c r="C39" t="s">
        <v>46</v>
      </c>
      <c r="D39" t="s">
        <v>77</v>
      </c>
      <c r="E39" t="s">
        <v>83</v>
      </c>
      <c r="F39" t="s">
        <v>97</v>
      </c>
      <c r="G39" t="str">
        <f t="shared" si="0"/>
        <v>NACE313233</v>
      </c>
      <c r="H39">
        <v>313233</v>
      </c>
      <c r="I39" t="s">
        <v>106</v>
      </c>
      <c r="J39" t="s">
        <v>129</v>
      </c>
      <c r="K39" t="s">
        <v>526</v>
      </c>
      <c r="L39" t="s">
        <v>140</v>
      </c>
      <c r="M39" t="s">
        <v>151</v>
      </c>
      <c r="N39" t="s">
        <v>157</v>
      </c>
      <c r="O39" t="s">
        <v>521</v>
      </c>
      <c r="P39" t="s">
        <v>184</v>
      </c>
      <c r="Q39" t="s">
        <v>515</v>
      </c>
      <c r="R39" t="s">
        <v>209</v>
      </c>
      <c r="S39">
        <v>0.30399999999999999</v>
      </c>
      <c r="T39">
        <v>351</v>
      </c>
      <c r="U39">
        <v>1</v>
      </c>
      <c r="V39">
        <v>2023</v>
      </c>
      <c r="W39" t="s">
        <v>339</v>
      </c>
      <c r="X39" t="s">
        <v>248</v>
      </c>
      <c r="Y39" s="2" t="s">
        <v>292</v>
      </c>
      <c r="AA39">
        <v>2.8490028490028491E-3</v>
      </c>
      <c r="AB39">
        <v>351</v>
      </c>
      <c r="AC39">
        <v>5.3376051268362382E-2</v>
      </c>
      <c r="AD39" s="8">
        <v>61</v>
      </c>
      <c r="AE39" s="8">
        <v>0</v>
      </c>
    </row>
    <row r="40" spans="1:31" x14ac:dyDescent="0.35">
      <c r="A40">
        <v>39</v>
      </c>
      <c r="B40">
        <v>26</v>
      </c>
      <c r="C40" t="s">
        <v>46</v>
      </c>
      <c r="D40" t="s">
        <v>77</v>
      </c>
      <c r="E40" t="s">
        <v>83</v>
      </c>
      <c r="F40" t="s">
        <v>97</v>
      </c>
      <c r="G40" t="str">
        <f t="shared" si="0"/>
        <v>NACE313233</v>
      </c>
      <c r="H40">
        <v>313233</v>
      </c>
      <c r="I40" t="s">
        <v>106</v>
      </c>
      <c r="J40" t="s">
        <v>130</v>
      </c>
      <c r="K40" t="s">
        <v>526</v>
      </c>
      <c r="L40" t="s">
        <v>140</v>
      </c>
      <c r="M40" t="s">
        <v>151</v>
      </c>
      <c r="N40" t="s">
        <v>157</v>
      </c>
      <c r="O40" t="s">
        <v>521</v>
      </c>
      <c r="P40" t="s">
        <v>184</v>
      </c>
      <c r="Q40" t="s">
        <v>515</v>
      </c>
      <c r="R40" t="s">
        <v>209</v>
      </c>
      <c r="S40">
        <v>0.54100000000000004</v>
      </c>
      <c r="T40">
        <v>351</v>
      </c>
      <c r="U40">
        <v>1</v>
      </c>
      <c r="V40">
        <v>2023</v>
      </c>
      <c r="W40" t="s">
        <v>339</v>
      </c>
      <c r="X40" t="s">
        <v>248</v>
      </c>
      <c r="Y40" s="2" t="s">
        <v>292</v>
      </c>
      <c r="AA40">
        <v>2.8490028490028491E-3</v>
      </c>
      <c r="AB40">
        <v>351</v>
      </c>
      <c r="AC40">
        <v>5.3376051268362382E-2</v>
      </c>
      <c r="AD40" s="8">
        <v>61</v>
      </c>
      <c r="AE40" s="8">
        <v>0</v>
      </c>
    </row>
    <row r="41" spans="1:31" x14ac:dyDescent="0.35">
      <c r="A41">
        <v>40</v>
      </c>
      <c r="B41">
        <v>26</v>
      </c>
      <c r="C41" t="s">
        <v>46</v>
      </c>
      <c r="D41" t="s">
        <v>77</v>
      </c>
      <c r="E41" t="s">
        <v>83</v>
      </c>
      <c r="F41" t="s">
        <v>97</v>
      </c>
      <c r="G41" t="str">
        <f t="shared" si="0"/>
        <v>NACE313233</v>
      </c>
      <c r="H41">
        <v>313233</v>
      </c>
      <c r="I41" t="s">
        <v>106</v>
      </c>
      <c r="J41" t="s">
        <v>131</v>
      </c>
      <c r="K41" t="s">
        <v>526</v>
      </c>
      <c r="L41" t="s">
        <v>140</v>
      </c>
      <c r="M41" t="s">
        <v>151</v>
      </c>
      <c r="N41" t="s">
        <v>157</v>
      </c>
      <c r="O41" t="s">
        <v>521</v>
      </c>
      <c r="P41" t="s">
        <v>184</v>
      </c>
      <c r="Q41" t="s">
        <v>515</v>
      </c>
      <c r="R41" t="s">
        <v>209</v>
      </c>
      <c r="S41">
        <v>0.30099999999999999</v>
      </c>
      <c r="T41">
        <v>351</v>
      </c>
      <c r="U41">
        <v>1</v>
      </c>
      <c r="V41">
        <v>2023</v>
      </c>
      <c r="W41" t="s">
        <v>339</v>
      </c>
      <c r="X41" t="s">
        <v>248</v>
      </c>
      <c r="Y41" s="2" t="s">
        <v>292</v>
      </c>
      <c r="AA41">
        <v>2.8490028490028491E-3</v>
      </c>
      <c r="AB41">
        <v>351</v>
      </c>
      <c r="AC41">
        <v>5.3376051268362382E-2</v>
      </c>
      <c r="AD41" s="8">
        <v>61</v>
      </c>
      <c r="AE41" s="8">
        <v>0</v>
      </c>
    </row>
    <row r="42" spans="1:31" x14ac:dyDescent="0.35">
      <c r="A42">
        <v>41</v>
      </c>
      <c r="B42">
        <v>27</v>
      </c>
      <c r="C42" t="s">
        <v>47</v>
      </c>
      <c r="D42" t="s">
        <v>75</v>
      </c>
      <c r="E42" t="s">
        <v>93</v>
      </c>
      <c r="F42" t="s">
        <v>100</v>
      </c>
      <c r="G42" t="str">
        <f t="shared" si="0"/>
        <v>NACE33</v>
      </c>
      <c r="H42">
        <v>33</v>
      </c>
      <c r="I42" t="s">
        <v>106</v>
      </c>
      <c r="J42" t="s">
        <v>132</v>
      </c>
      <c r="K42" t="s">
        <v>525</v>
      </c>
      <c r="L42" t="s">
        <v>145</v>
      </c>
      <c r="M42" t="s">
        <v>151</v>
      </c>
      <c r="N42" t="s">
        <v>157</v>
      </c>
      <c r="O42" t="s">
        <v>522</v>
      </c>
      <c r="P42" t="s">
        <v>165</v>
      </c>
      <c r="Q42" t="s">
        <v>517</v>
      </c>
      <c r="R42" t="s">
        <v>210</v>
      </c>
      <c r="S42">
        <v>0.15</v>
      </c>
      <c r="T42">
        <v>347</v>
      </c>
      <c r="U42">
        <v>1</v>
      </c>
      <c r="V42">
        <v>2023</v>
      </c>
      <c r="W42" t="s">
        <v>340</v>
      </c>
      <c r="X42" t="s">
        <v>249</v>
      </c>
      <c r="Y42" s="2" t="s">
        <v>293</v>
      </c>
      <c r="AA42">
        <v>2.881844380403458E-3</v>
      </c>
      <c r="AB42">
        <v>347</v>
      </c>
      <c r="AC42">
        <v>5.3682812709501891E-2</v>
      </c>
      <c r="AD42" s="8">
        <v>76</v>
      </c>
      <c r="AE42" s="8">
        <v>1</v>
      </c>
    </row>
    <row r="43" spans="1:31" x14ac:dyDescent="0.35">
      <c r="A43">
        <v>42</v>
      </c>
      <c r="B43">
        <v>28</v>
      </c>
      <c r="C43" t="s">
        <v>48</v>
      </c>
      <c r="D43" t="s">
        <v>67</v>
      </c>
      <c r="E43" t="s">
        <v>86</v>
      </c>
      <c r="F43" t="s">
        <v>97</v>
      </c>
      <c r="G43" t="str">
        <f t="shared" si="0"/>
        <v>NACE313233</v>
      </c>
      <c r="H43">
        <v>313233</v>
      </c>
      <c r="I43" t="s">
        <v>106</v>
      </c>
      <c r="J43" t="s">
        <v>120</v>
      </c>
      <c r="K43" t="s">
        <v>526</v>
      </c>
      <c r="L43" t="s">
        <v>142</v>
      </c>
      <c r="M43" t="s">
        <v>151</v>
      </c>
      <c r="N43" t="s">
        <v>157</v>
      </c>
      <c r="O43" t="s">
        <v>522</v>
      </c>
      <c r="P43" t="s">
        <v>165</v>
      </c>
      <c r="Q43" t="s">
        <v>517</v>
      </c>
      <c r="R43" t="s">
        <v>198</v>
      </c>
      <c r="S43">
        <v>0.56499999999999995</v>
      </c>
      <c r="T43">
        <v>430</v>
      </c>
      <c r="U43">
        <v>1</v>
      </c>
      <c r="V43">
        <v>2023</v>
      </c>
      <c r="W43" t="s">
        <v>341</v>
      </c>
      <c r="X43" t="s">
        <v>250</v>
      </c>
      <c r="Y43" s="2" t="s">
        <v>294</v>
      </c>
      <c r="AA43">
        <v>2.3255813953488372E-3</v>
      </c>
      <c r="AB43">
        <v>430</v>
      </c>
      <c r="AC43">
        <v>4.8224282217041212E-2</v>
      </c>
      <c r="AD43" s="8">
        <v>62</v>
      </c>
      <c r="AE43" s="8">
        <v>0</v>
      </c>
    </row>
    <row r="44" spans="1:31" x14ac:dyDescent="0.35">
      <c r="A44">
        <v>43</v>
      </c>
      <c r="B44">
        <v>28</v>
      </c>
      <c r="C44" t="s">
        <v>48</v>
      </c>
      <c r="D44" t="s">
        <v>67</v>
      </c>
      <c r="E44" t="s">
        <v>86</v>
      </c>
      <c r="F44" t="s">
        <v>97</v>
      </c>
      <c r="G44" t="str">
        <f t="shared" si="0"/>
        <v>NACE313233</v>
      </c>
      <c r="H44">
        <v>313233</v>
      </c>
      <c r="I44" t="s">
        <v>106</v>
      </c>
      <c r="J44" t="s">
        <v>120</v>
      </c>
      <c r="K44" t="s">
        <v>526</v>
      </c>
      <c r="L44" t="s">
        <v>142</v>
      </c>
      <c r="M44" t="s">
        <v>151</v>
      </c>
      <c r="N44" t="s">
        <v>157</v>
      </c>
      <c r="O44" t="s">
        <v>522</v>
      </c>
      <c r="P44" t="s">
        <v>165</v>
      </c>
      <c r="Q44" t="s">
        <v>517</v>
      </c>
      <c r="R44" t="s">
        <v>203</v>
      </c>
      <c r="S44">
        <v>0.39300000000000002</v>
      </c>
      <c r="T44">
        <v>430</v>
      </c>
      <c r="U44">
        <v>1</v>
      </c>
      <c r="V44">
        <v>2023</v>
      </c>
      <c r="W44" t="s">
        <v>341</v>
      </c>
      <c r="X44" t="s">
        <v>250</v>
      </c>
      <c r="Y44" s="2" t="s">
        <v>294</v>
      </c>
      <c r="AA44">
        <v>2.3255813953488372E-3</v>
      </c>
      <c r="AB44">
        <v>430</v>
      </c>
      <c r="AC44">
        <v>4.8224282217041212E-2</v>
      </c>
      <c r="AD44" s="8">
        <v>62</v>
      </c>
      <c r="AE44" s="8">
        <v>0</v>
      </c>
    </row>
    <row r="45" spans="1:31" x14ac:dyDescent="0.35">
      <c r="A45">
        <v>44</v>
      </c>
      <c r="B45">
        <v>29</v>
      </c>
      <c r="C45" t="s">
        <v>49</v>
      </c>
      <c r="D45" t="s">
        <v>67</v>
      </c>
      <c r="E45" t="s">
        <v>86</v>
      </c>
      <c r="F45" t="s">
        <v>97</v>
      </c>
      <c r="G45" t="str">
        <f t="shared" si="0"/>
        <v>NACE313233</v>
      </c>
      <c r="H45">
        <v>313233</v>
      </c>
      <c r="I45" t="s">
        <v>107</v>
      </c>
      <c r="J45" t="s">
        <v>133</v>
      </c>
      <c r="K45" t="s">
        <v>526</v>
      </c>
      <c r="L45" t="s">
        <v>140</v>
      </c>
      <c r="M45" t="s">
        <v>152</v>
      </c>
      <c r="N45" t="s">
        <v>156</v>
      </c>
      <c r="O45" t="s">
        <v>521</v>
      </c>
      <c r="P45" t="s">
        <v>185</v>
      </c>
      <c r="Q45" t="s">
        <v>518</v>
      </c>
      <c r="R45" t="s">
        <v>211</v>
      </c>
      <c r="S45">
        <v>0</v>
      </c>
      <c r="T45">
        <v>2357</v>
      </c>
      <c r="U45">
        <v>0</v>
      </c>
      <c r="V45">
        <v>2023</v>
      </c>
      <c r="W45" t="s">
        <v>342</v>
      </c>
      <c r="X45" t="s">
        <v>251</v>
      </c>
      <c r="Y45" s="2" t="s">
        <v>295</v>
      </c>
      <c r="AA45">
        <v>4.2426813746287647E-4</v>
      </c>
      <c r="AB45">
        <v>2357</v>
      </c>
      <c r="AC45">
        <v>2.0597770206089699E-2</v>
      </c>
      <c r="AD45" s="8">
        <v>62</v>
      </c>
      <c r="AE45" s="8">
        <v>0</v>
      </c>
    </row>
    <row r="46" spans="1:31" x14ac:dyDescent="0.35">
      <c r="A46">
        <v>45</v>
      </c>
      <c r="B46">
        <v>30</v>
      </c>
      <c r="C46" t="s">
        <v>50</v>
      </c>
      <c r="D46" t="s">
        <v>67</v>
      </c>
      <c r="E46" t="s">
        <v>86</v>
      </c>
      <c r="F46" t="s">
        <v>97</v>
      </c>
      <c r="G46" t="str">
        <f t="shared" si="0"/>
        <v>NACE313233</v>
      </c>
      <c r="H46">
        <v>313233</v>
      </c>
      <c r="I46" t="s">
        <v>107</v>
      </c>
      <c r="J46" t="s">
        <v>133</v>
      </c>
      <c r="K46" t="s">
        <v>527</v>
      </c>
      <c r="L46" t="s">
        <v>146</v>
      </c>
      <c r="M46" t="s">
        <v>151</v>
      </c>
      <c r="N46" t="s">
        <v>156</v>
      </c>
      <c r="O46" t="s">
        <v>521</v>
      </c>
      <c r="P46" t="s">
        <v>184</v>
      </c>
      <c r="Q46" t="s">
        <v>514</v>
      </c>
      <c r="R46" t="s">
        <v>212</v>
      </c>
      <c r="S46">
        <v>0.18111987062866389</v>
      </c>
      <c r="T46">
        <v>13195</v>
      </c>
      <c r="U46">
        <v>0</v>
      </c>
      <c r="V46">
        <v>2023</v>
      </c>
      <c r="W46" t="s">
        <v>343</v>
      </c>
      <c r="X46" t="s">
        <v>252</v>
      </c>
      <c r="Y46" s="2" t="s">
        <v>296</v>
      </c>
      <c r="AA46">
        <v>7.5786282682834412E-5</v>
      </c>
      <c r="AB46">
        <v>13195</v>
      </c>
      <c r="AC46">
        <v>8.7055317288971153E-3</v>
      </c>
      <c r="AD46" s="8">
        <v>62</v>
      </c>
      <c r="AE46" s="8">
        <v>0</v>
      </c>
    </row>
    <row r="47" spans="1:31" x14ac:dyDescent="0.35">
      <c r="A47">
        <v>46</v>
      </c>
      <c r="B47">
        <v>31</v>
      </c>
      <c r="C47" t="s">
        <v>51</v>
      </c>
      <c r="D47" t="s">
        <v>67</v>
      </c>
      <c r="E47" t="s">
        <v>86</v>
      </c>
      <c r="F47" t="s">
        <v>97</v>
      </c>
      <c r="G47" t="str">
        <f t="shared" si="0"/>
        <v>NACE313233</v>
      </c>
      <c r="H47">
        <v>313233</v>
      </c>
      <c r="I47" t="s">
        <v>107</v>
      </c>
      <c r="J47" t="s">
        <v>108</v>
      </c>
      <c r="K47" t="s">
        <v>525</v>
      </c>
      <c r="L47" t="s">
        <v>108</v>
      </c>
      <c r="M47" t="s">
        <v>149</v>
      </c>
      <c r="N47" t="s">
        <v>156</v>
      </c>
      <c r="O47" t="s">
        <v>523</v>
      </c>
      <c r="P47" t="s">
        <v>168</v>
      </c>
      <c r="Q47" t="s">
        <v>517</v>
      </c>
      <c r="R47" t="s">
        <v>213</v>
      </c>
      <c r="S47">
        <v>0.1131999191429149</v>
      </c>
      <c r="T47">
        <v>195</v>
      </c>
      <c r="U47">
        <v>0</v>
      </c>
      <c r="V47">
        <v>2023</v>
      </c>
      <c r="W47" t="s">
        <v>344</v>
      </c>
      <c r="X47" t="s">
        <v>253</v>
      </c>
      <c r="Y47" s="2" t="s">
        <v>297</v>
      </c>
      <c r="AA47">
        <v>5.1282051282051282E-3</v>
      </c>
      <c r="AB47">
        <v>195</v>
      </c>
      <c r="AC47">
        <v>7.1611487403943283E-2</v>
      </c>
      <c r="AD47" s="8">
        <v>62</v>
      </c>
      <c r="AE47" s="8">
        <v>0</v>
      </c>
    </row>
    <row r="48" spans="1:31" x14ac:dyDescent="0.35">
      <c r="A48">
        <v>47</v>
      </c>
      <c r="B48">
        <v>32</v>
      </c>
      <c r="C48" t="s">
        <v>52</v>
      </c>
      <c r="D48" t="s">
        <v>75</v>
      </c>
      <c r="E48" t="s">
        <v>86</v>
      </c>
      <c r="F48" t="s">
        <v>97</v>
      </c>
      <c r="G48" t="str">
        <f t="shared" si="0"/>
        <v>NACE313233</v>
      </c>
      <c r="H48">
        <v>313233</v>
      </c>
      <c r="I48" t="s">
        <v>106</v>
      </c>
      <c r="J48" t="s">
        <v>134</v>
      </c>
      <c r="K48" t="s">
        <v>526</v>
      </c>
      <c r="L48" t="s">
        <v>140</v>
      </c>
      <c r="M48" t="s">
        <v>151</v>
      </c>
      <c r="N48" t="s">
        <v>157</v>
      </c>
      <c r="O48" t="s">
        <v>522</v>
      </c>
      <c r="P48" t="s">
        <v>186</v>
      </c>
      <c r="Q48" t="s">
        <v>517</v>
      </c>
      <c r="R48" t="s">
        <v>198</v>
      </c>
      <c r="S48">
        <v>0.47799999999999998</v>
      </c>
      <c r="T48">
        <v>370</v>
      </c>
      <c r="U48">
        <v>1</v>
      </c>
      <c r="V48">
        <v>2023</v>
      </c>
      <c r="W48" t="s">
        <v>345</v>
      </c>
      <c r="X48" t="s">
        <v>254</v>
      </c>
      <c r="Y48" s="2" t="s">
        <v>298</v>
      </c>
      <c r="AA48">
        <v>2.7027027027027029E-3</v>
      </c>
      <c r="AB48">
        <v>370</v>
      </c>
      <c r="AC48">
        <v>5.1987524491003634E-2</v>
      </c>
      <c r="AD48" s="8">
        <v>62</v>
      </c>
      <c r="AE48" s="8">
        <v>0</v>
      </c>
    </row>
    <row r="49" spans="1:31" x14ac:dyDescent="0.35">
      <c r="A49">
        <v>48</v>
      </c>
      <c r="B49">
        <v>32</v>
      </c>
      <c r="C49" t="s">
        <v>52</v>
      </c>
      <c r="D49" t="s">
        <v>75</v>
      </c>
      <c r="E49" t="s">
        <v>86</v>
      </c>
      <c r="F49" t="s">
        <v>97</v>
      </c>
      <c r="G49" t="str">
        <f t="shared" si="0"/>
        <v>NACE313233</v>
      </c>
      <c r="H49">
        <v>313233</v>
      </c>
      <c r="I49" t="s">
        <v>106</v>
      </c>
      <c r="J49" t="s">
        <v>134</v>
      </c>
      <c r="K49" t="s">
        <v>526</v>
      </c>
      <c r="L49" t="s">
        <v>140</v>
      </c>
      <c r="M49" t="s">
        <v>151</v>
      </c>
      <c r="N49" t="s">
        <v>157</v>
      </c>
      <c r="O49" t="s">
        <v>522</v>
      </c>
      <c r="P49" t="s">
        <v>187</v>
      </c>
      <c r="Q49" t="s">
        <v>517</v>
      </c>
      <c r="R49" t="s">
        <v>198</v>
      </c>
      <c r="S49">
        <v>0.54800000000000004</v>
      </c>
      <c r="T49">
        <v>370</v>
      </c>
      <c r="U49">
        <v>1</v>
      </c>
      <c r="V49">
        <v>2023</v>
      </c>
      <c r="W49" t="s">
        <v>346</v>
      </c>
      <c r="X49" t="s">
        <v>254</v>
      </c>
      <c r="Y49" s="2" t="s">
        <v>298</v>
      </c>
      <c r="AA49">
        <v>2.7027027027027029E-3</v>
      </c>
      <c r="AB49">
        <v>370</v>
      </c>
      <c r="AC49">
        <v>5.1987524491003634E-2</v>
      </c>
      <c r="AD49" s="8">
        <v>62</v>
      </c>
      <c r="AE49" s="8">
        <v>0</v>
      </c>
    </row>
    <row r="50" spans="1:31" x14ac:dyDescent="0.35">
      <c r="A50">
        <v>49</v>
      </c>
      <c r="B50">
        <v>33</v>
      </c>
      <c r="C50" t="s">
        <v>53</v>
      </c>
      <c r="D50" t="s">
        <v>69</v>
      </c>
      <c r="E50" t="s">
        <v>90</v>
      </c>
      <c r="F50" t="s">
        <v>103</v>
      </c>
      <c r="G50" t="str">
        <f t="shared" si="0"/>
        <v>NACE33</v>
      </c>
      <c r="H50">
        <v>33</v>
      </c>
      <c r="I50" t="s">
        <v>107</v>
      </c>
      <c r="J50" t="s">
        <v>135</v>
      </c>
      <c r="K50" t="s">
        <v>525</v>
      </c>
      <c r="L50" t="s">
        <v>147</v>
      </c>
      <c r="M50" t="s">
        <v>151</v>
      </c>
      <c r="N50" t="s">
        <v>157</v>
      </c>
      <c r="O50" t="s">
        <v>522</v>
      </c>
      <c r="P50" t="s">
        <v>165</v>
      </c>
      <c r="Q50" t="s">
        <v>517</v>
      </c>
      <c r="R50" t="s">
        <v>198</v>
      </c>
      <c r="S50">
        <v>0.47899999999999998</v>
      </c>
      <c r="T50">
        <v>202</v>
      </c>
      <c r="U50">
        <v>1</v>
      </c>
      <c r="V50">
        <v>2024</v>
      </c>
      <c r="W50" t="s">
        <v>347</v>
      </c>
      <c r="X50" t="s">
        <v>255</v>
      </c>
      <c r="Y50" s="2" t="s">
        <v>299</v>
      </c>
      <c r="AA50">
        <v>4.9504950495049514E-3</v>
      </c>
      <c r="AB50">
        <v>202</v>
      </c>
      <c r="AC50">
        <v>7.0359754473029196E-2</v>
      </c>
      <c r="AD50" s="8">
        <v>37</v>
      </c>
      <c r="AE50" s="8">
        <v>0</v>
      </c>
    </row>
    <row r="51" spans="1:31" x14ac:dyDescent="0.35">
      <c r="A51">
        <v>50</v>
      </c>
      <c r="B51">
        <v>33</v>
      </c>
      <c r="C51" t="s">
        <v>53</v>
      </c>
      <c r="D51" t="s">
        <v>69</v>
      </c>
      <c r="E51" t="s">
        <v>90</v>
      </c>
      <c r="F51" t="s">
        <v>103</v>
      </c>
      <c r="G51" t="str">
        <f t="shared" si="0"/>
        <v>NACE33</v>
      </c>
      <c r="H51">
        <v>33</v>
      </c>
      <c r="I51" t="s">
        <v>107</v>
      </c>
      <c r="J51" t="s">
        <v>135</v>
      </c>
      <c r="K51" t="s">
        <v>525</v>
      </c>
      <c r="L51" t="s">
        <v>147</v>
      </c>
      <c r="M51" t="s">
        <v>151</v>
      </c>
      <c r="N51" t="s">
        <v>157</v>
      </c>
      <c r="O51" t="s">
        <v>522</v>
      </c>
      <c r="P51" t="s">
        <v>165</v>
      </c>
      <c r="Q51" t="s">
        <v>518</v>
      </c>
      <c r="R51" t="s">
        <v>214</v>
      </c>
      <c r="S51">
        <v>0.498</v>
      </c>
      <c r="T51">
        <v>202</v>
      </c>
      <c r="U51">
        <v>1</v>
      </c>
      <c r="V51">
        <v>2024</v>
      </c>
      <c r="W51" t="s">
        <v>347</v>
      </c>
      <c r="X51" t="s">
        <v>255</v>
      </c>
      <c r="Y51" s="2" t="s">
        <v>299</v>
      </c>
      <c r="AA51">
        <v>4.9504950495049514E-3</v>
      </c>
      <c r="AB51">
        <v>202</v>
      </c>
      <c r="AC51">
        <v>7.0359754473029196E-2</v>
      </c>
      <c r="AD51" s="8">
        <v>37</v>
      </c>
      <c r="AE51" s="8">
        <v>0</v>
      </c>
    </row>
    <row r="52" spans="1:31" x14ac:dyDescent="0.35">
      <c r="A52">
        <v>51</v>
      </c>
      <c r="B52">
        <v>34</v>
      </c>
      <c r="C52" t="s">
        <v>54</v>
      </c>
      <c r="D52" t="s">
        <v>78</v>
      </c>
      <c r="E52" t="s">
        <v>365</v>
      </c>
      <c r="F52" t="s">
        <v>77</v>
      </c>
      <c r="G52" t="str">
        <f t="shared" si="0"/>
        <v>NACE31</v>
      </c>
      <c r="H52">
        <v>31</v>
      </c>
      <c r="I52" t="s">
        <v>106</v>
      </c>
      <c r="J52" t="s">
        <v>108</v>
      </c>
      <c r="K52" t="s">
        <v>525</v>
      </c>
      <c r="L52" t="s">
        <v>108</v>
      </c>
      <c r="M52" t="s">
        <v>149</v>
      </c>
      <c r="N52" t="s">
        <v>161</v>
      </c>
      <c r="O52" t="s">
        <v>522</v>
      </c>
      <c r="P52" t="s">
        <v>188</v>
      </c>
      <c r="Q52" t="s">
        <v>518</v>
      </c>
      <c r="R52" t="s">
        <v>215</v>
      </c>
      <c r="S52">
        <v>0.14000000000000001</v>
      </c>
      <c r="T52">
        <v>254</v>
      </c>
      <c r="U52">
        <v>1</v>
      </c>
      <c r="V52">
        <v>2024</v>
      </c>
      <c r="W52" t="s">
        <v>348</v>
      </c>
      <c r="X52" t="s">
        <v>256</v>
      </c>
      <c r="Y52" s="2" t="s">
        <v>300</v>
      </c>
      <c r="AA52">
        <v>3.937007874015748E-3</v>
      </c>
      <c r="AB52">
        <v>254</v>
      </c>
      <c r="AC52">
        <v>6.274558051381586E-2</v>
      </c>
      <c r="AD52" s="8">
        <v>42.5</v>
      </c>
      <c r="AE52" s="8">
        <v>0</v>
      </c>
    </row>
    <row r="53" spans="1:31" x14ac:dyDescent="0.35">
      <c r="A53">
        <v>52</v>
      </c>
      <c r="B53">
        <v>34</v>
      </c>
      <c r="C53" t="s">
        <v>54</v>
      </c>
      <c r="D53" t="s">
        <v>78</v>
      </c>
      <c r="E53" t="s">
        <v>365</v>
      </c>
      <c r="F53" t="s">
        <v>77</v>
      </c>
      <c r="G53" t="str">
        <f t="shared" si="0"/>
        <v>NACE31</v>
      </c>
      <c r="H53">
        <v>31</v>
      </c>
      <c r="I53" t="s">
        <v>106</v>
      </c>
      <c r="J53" t="s">
        <v>108</v>
      </c>
      <c r="K53" t="s">
        <v>525</v>
      </c>
      <c r="L53" t="s">
        <v>108</v>
      </c>
      <c r="M53" t="s">
        <v>149</v>
      </c>
      <c r="N53" t="s">
        <v>161</v>
      </c>
      <c r="O53" t="s">
        <v>522</v>
      </c>
      <c r="P53" t="s">
        <v>189</v>
      </c>
      <c r="Q53" t="s">
        <v>518</v>
      </c>
      <c r="R53" t="s">
        <v>215</v>
      </c>
      <c r="S53">
        <v>8.5999999999999993E-2</v>
      </c>
      <c r="T53">
        <v>254</v>
      </c>
      <c r="U53">
        <v>1</v>
      </c>
      <c r="V53">
        <v>2024</v>
      </c>
      <c r="W53" t="s">
        <v>348</v>
      </c>
      <c r="X53" t="s">
        <v>256</v>
      </c>
      <c r="Y53" s="2" t="s">
        <v>300</v>
      </c>
      <c r="AA53">
        <v>3.937007874015748E-3</v>
      </c>
      <c r="AB53">
        <v>254</v>
      </c>
      <c r="AC53">
        <v>6.274558051381586E-2</v>
      </c>
      <c r="AD53" s="8">
        <v>42.5</v>
      </c>
      <c r="AE53" s="8">
        <v>0</v>
      </c>
    </row>
    <row r="54" spans="1:31" x14ac:dyDescent="0.35">
      <c r="A54">
        <v>53</v>
      </c>
      <c r="B54">
        <v>35</v>
      </c>
      <c r="C54" t="s">
        <v>55</v>
      </c>
      <c r="D54" t="s">
        <v>70</v>
      </c>
      <c r="E54" t="s">
        <v>91</v>
      </c>
      <c r="F54" t="s">
        <v>97</v>
      </c>
      <c r="G54" t="str">
        <f t="shared" si="0"/>
        <v>NACE313233</v>
      </c>
      <c r="H54">
        <v>313233</v>
      </c>
      <c r="I54" t="s">
        <v>106</v>
      </c>
      <c r="J54" t="s">
        <v>136</v>
      </c>
      <c r="K54" t="s">
        <v>526</v>
      </c>
      <c r="L54" t="s">
        <v>140</v>
      </c>
      <c r="M54" t="s">
        <v>151</v>
      </c>
      <c r="N54" t="s">
        <v>161</v>
      </c>
      <c r="O54" t="s">
        <v>522</v>
      </c>
      <c r="P54" t="s">
        <v>190</v>
      </c>
      <c r="Q54" t="s">
        <v>515</v>
      </c>
      <c r="R54" t="s">
        <v>216</v>
      </c>
      <c r="S54">
        <v>0.58699999999999997</v>
      </c>
      <c r="T54">
        <v>303</v>
      </c>
      <c r="U54">
        <v>1</v>
      </c>
      <c r="V54">
        <v>2024</v>
      </c>
      <c r="W54" t="s">
        <v>349</v>
      </c>
      <c r="X54" t="s">
        <v>556</v>
      </c>
      <c r="Y54" t="s">
        <v>557</v>
      </c>
      <c r="AA54">
        <v>3.3003300330032999E-3</v>
      </c>
      <c r="AB54">
        <v>303</v>
      </c>
      <c r="AC54">
        <v>5.7448498962142602E-2</v>
      </c>
      <c r="AD54" s="8">
        <v>72.5</v>
      </c>
      <c r="AE54" s="8">
        <v>1</v>
      </c>
    </row>
    <row r="55" spans="1:31" x14ac:dyDescent="0.35">
      <c r="A55">
        <v>54</v>
      </c>
      <c r="B55">
        <v>35</v>
      </c>
      <c r="C55" t="s">
        <v>55</v>
      </c>
      <c r="D55" t="s">
        <v>70</v>
      </c>
      <c r="E55" t="s">
        <v>91</v>
      </c>
      <c r="F55" t="s">
        <v>97</v>
      </c>
      <c r="G55" t="str">
        <f t="shared" si="0"/>
        <v>NACE313233</v>
      </c>
      <c r="H55">
        <v>313233</v>
      </c>
      <c r="I55" t="s">
        <v>106</v>
      </c>
      <c r="J55" t="s">
        <v>136</v>
      </c>
      <c r="K55" t="s">
        <v>526</v>
      </c>
      <c r="L55" t="s">
        <v>140</v>
      </c>
      <c r="M55" t="s">
        <v>151</v>
      </c>
      <c r="N55" t="s">
        <v>161</v>
      </c>
      <c r="O55" t="s">
        <v>522</v>
      </c>
      <c r="P55" t="s">
        <v>191</v>
      </c>
      <c r="Q55" t="s">
        <v>515</v>
      </c>
      <c r="R55" t="s">
        <v>216</v>
      </c>
      <c r="S55">
        <v>0.66500000000000004</v>
      </c>
      <c r="T55">
        <v>303</v>
      </c>
      <c r="U55">
        <v>1</v>
      </c>
      <c r="V55">
        <v>2024</v>
      </c>
      <c r="W55" t="s">
        <v>349</v>
      </c>
      <c r="X55" t="s">
        <v>556</v>
      </c>
      <c r="Y55" t="s">
        <v>557</v>
      </c>
      <c r="AA55">
        <v>3.3003300330032999E-3</v>
      </c>
      <c r="AB55">
        <v>303</v>
      </c>
      <c r="AC55">
        <v>5.7448498962142602E-2</v>
      </c>
      <c r="AD55" s="8">
        <v>72.5</v>
      </c>
      <c r="AE55" s="8">
        <v>1</v>
      </c>
    </row>
    <row r="56" spans="1:31" x14ac:dyDescent="0.35">
      <c r="A56">
        <v>55</v>
      </c>
      <c r="B56">
        <v>36</v>
      </c>
      <c r="C56" t="s">
        <v>56</v>
      </c>
      <c r="D56" t="s">
        <v>79</v>
      </c>
      <c r="E56" t="s">
        <v>86</v>
      </c>
      <c r="F56" t="s">
        <v>97</v>
      </c>
      <c r="G56" t="str">
        <f t="shared" si="0"/>
        <v>NACE313233</v>
      </c>
      <c r="H56">
        <v>313233</v>
      </c>
      <c r="I56" t="s">
        <v>107</v>
      </c>
      <c r="J56" t="s">
        <v>137</v>
      </c>
      <c r="K56" t="s">
        <v>527</v>
      </c>
      <c r="L56" t="s">
        <v>148</v>
      </c>
      <c r="M56" t="s">
        <v>151</v>
      </c>
      <c r="N56" t="s">
        <v>156</v>
      </c>
      <c r="O56" t="s">
        <v>521</v>
      </c>
      <c r="P56" t="s">
        <v>184</v>
      </c>
      <c r="Q56" t="s">
        <v>516</v>
      </c>
      <c r="R56" t="s">
        <v>217</v>
      </c>
      <c r="S56">
        <v>0.1113806347281181</v>
      </c>
      <c r="T56">
        <v>2606</v>
      </c>
      <c r="U56">
        <v>0</v>
      </c>
      <c r="V56">
        <v>2024</v>
      </c>
      <c r="W56" t="s">
        <v>350</v>
      </c>
      <c r="X56" t="s">
        <v>257</v>
      </c>
      <c r="Y56" s="2" t="s">
        <v>301</v>
      </c>
      <c r="AA56">
        <v>3.8372985418265541E-4</v>
      </c>
      <c r="AB56">
        <v>2606</v>
      </c>
      <c r="AC56">
        <v>1.9589023819033338E-2</v>
      </c>
      <c r="AD56" s="8">
        <v>62</v>
      </c>
      <c r="AE56" s="8">
        <v>0</v>
      </c>
    </row>
    <row r="57" spans="1:31" x14ac:dyDescent="0.35">
      <c r="A57">
        <v>56</v>
      </c>
      <c r="B57">
        <v>37</v>
      </c>
      <c r="C57" t="s">
        <v>57</v>
      </c>
      <c r="D57" t="s">
        <v>73</v>
      </c>
      <c r="E57" t="s">
        <v>94</v>
      </c>
      <c r="F57" t="s">
        <v>97</v>
      </c>
      <c r="G57" t="str">
        <f t="shared" si="0"/>
        <v>NACE313233</v>
      </c>
      <c r="H57">
        <v>313233</v>
      </c>
      <c r="I57" t="s">
        <v>106</v>
      </c>
      <c r="J57" t="s">
        <v>108</v>
      </c>
      <c r="K57" t="s">
        <v>525</v>
      </c>
      <c r="L57" t="s">
        <v>108</v>
      </c>
      <c r="M57" t="s">
        <v>149</v>
      </c>
      <c r="N57" t="s">
        <v>161</v>
      </c>
      <c r="O57" t="s">
        <v>523</v>
      </c>
      <c r="P57" t="s">
        <v>168</v>
      </c>
      <c r="Q57" t="s">
        <v>516</v>
      </c>
      <c r="R57" t="s">
        <v>218</v>
      </c>
      <c r="S57">
        <v>0.41799999999999998</v>
      </c>
      <c r="T57">
        <v>234</v>
      </c>
      <c r="U57">
        <v>1</v>
      </c>
      <c r="V57">
        <v>2024</v>
      </c>
      <c r="W57" t="s">
        <v>351</v>
      </c>
      <c r="X57" t="s">
        <v>258</v>
      </c>
      <c r="Y57" s="2" t="s">
        <v>302</v>
      </c>
      <c r="AA57">
        <v>4.2735042735042739E-3</v>
      </c>
      <c r="AB57">
        <v>234</v>
      </c>
      <c r="AC57">
        <v>6.5372045046061353E-2</v>
      </c>
      <c r="AD57" s="8">
        <v>71</v>
      </c>
      <c r="AE57" s="8">
        <v>1</v>
      </c>
    </row>
    <row r="58" spans="1:31" x14ac:dyDescent="0.35">
      <c r="A58">
        <v>57</v>
      </c>
      <c r="B58">
        <v>38</v>
      </c>
      <c r="C58" t="s">
        <v>58</v>
      </c>
      <c r="D58" t="s">
        <v>67</v>
      </c>
      <c r="E58" t="s">
        <v>86</v>
      </c>
      <c r="F58" t="s">
        <v>97</v>
      </c>
      <c r="G58" t="str">
        <f t="shared" si="0"/>
        <v>NACE313233</v>
      </c>
      <c r="H58">
        <v>313233</v>
      </c>
      <c r="I58" t="s">
        <v>107</v>
      </c>
      <c r="J58" t="s">
        <v>108</v>
      </c>
      <c r="K58" t="s">
        <v>525</v>
      </c>
      <c r="L58" t="s">
        <v>108</v>
      </c>
      <c r="M58" t="s">
        <v>149</v>
      </c>
      <c r="N58" t="s">
        <v>156</v>
      </c>
      <c r="O58" t="s">
        <v>523</v>
      </c>
      <c r="P58" t="s">
        <v>168</v>
      </c>
      <c r="Q58" t="s">
        <v>514</v>
      </c>
      <c r="R58" t="s">
        <v>219</v>
      </c>
      <c r="S58">
        <v>0.2128562765312311</v>
      </c>
      <c r="T58">
        <v>240</v>
      </c>
      <c r="U58">
        <v>0</v>
      </c>
      <c r="V58">
        <v>2024</v>
      </c>
      <c r="W58" t="s">
        <v>352</v>
      </c>
      <c r="X58" t="s">
        <v>259</v>
      </c>
      <c r="Y58" s="2" t="s">
        <v>303</v>
      </c>
      <c r="AA58">
        <v>4.1666666666666666E-3</v>
      </c>
      <c r="AB58">
        <v>240</v>
      </c>
      <c r="AC58">
        <v>6.4549722436790274E-2</v>
      </c>
      <c r="AD58" s="8">
        <v>62</v>
      </c>
      <c r="AE58" s="8">
        <v>0</v>
      </c>
    </row>
    <row r="59" spans="1:31" x14ac:dyDescent="0.35">
      <c r="A59">
        <v>58</v>
      </c>
      <c r="B59">
        <v>39</v>
      </c>
      <c r="C59" t="s">
        <v>59</v>
      </c>
      <c r="D59" t="s">
        <v>67</v>
      </c>
      <c r="E59" t="s">
        <v>86</v>
      </c>
      <c r="F59" t="s">
        <v>97</v>
      </c>
      <c r="G59" t="str">
        <f t="shared" si="0"/>
        <v>NACE313233</v>
      </c>
      <c r="H59">
        <v>313233</v>
      </c>
      <c r="I59" t="s">
        <v>107</v>
      </c>
      <c r="J59" t="s">
        <v>133</v>
      </c>
      <c r="K59" t="s">
        <v>526</v>
      </c>
      <c r="L59" t="s">
        <v>140</v>
      </c>
      <c r="M59" t="s">
        <v>152</v>
      </c>
      <c r="N59" t="s">
        <v>156</v>
      </c>
      <c r="O59" t="s">
        <v>521</v>
      </c>
      <c r="P59" t="s">
        <v>185</v>
      </c>
      <c r="Q59" t="s">
        <v>517</v>
      </c>
      <c r="R59" t="s">
        <v>220</v>
      </c>
      <c r="S59">
        <v>0.15261774813017989</v>
      </c>
      <c r="T59">
        <v>231</v>
      </c>
      <c r="U59">
        <v>0</v>
      </c>
      <c r="V59">
        <v>2024</v>
      </c>
      <c r="W59" t="s">
        <v>352</v>
      </c>
      <c r="X59" t="s">
        <v>260</v>
      </c>
      <c r="Y59" s="2" t="s">
        <v>304</v>
      </c>
      <c r="AA59">
        <v>4.329004329004329E-3</v>
      </c>
      <c r="AB59">
        <v>231</v>
      </c>
      <c r="AC59">
        <v>6.5795169495976899E-2</v>
      </c>
      <c r="AD59" s="8">
        <v>62</v>
      </c>
      <c r="AE59" s="8">
        <v>0</v>
      </c>
    </row>
    <row r="60" spans="1:31" x14ac:dyDescent="0.35">
      <c r="A60">
        <v>59</v>
      </c>
      <c r="B60">
        <v>40</v>
      </c>
      <c r="C60" t="s">
        <v>60</v>
      </c>
      <c r="D60" t="s">
        <v>75</v>
      </c>
      <c r="E60" t="s">
        <v>86</v>
      </c>
      <c r="F60" t="s">
        <v>104</v>
      </c>
      <c r="G60" t="str">
        <f t="shared" si="0"/>
        <v>NACE33</v>
      </c>
      <c r="H60">
        <v>33</v>
      </c>
      <c r="I60" t="s">
        <v>107</v>
      </c>
      <c r="J60" t="s">
        <v>138</v>
      </c>
      <c r="K60" t="s">
        <v>526</v>
      </c>
      <c r="L60" t="s">
        <v>140</v>
      </c>
      <c r="M60" t="s">
        <v>152</v>
      </c>
      <c r="N60" t="s">
        <v>156</v>
      </c>
      <c r="O60" t="s">
        <v>521</v>
      </c>
      <c r="P60" t="s">
        <v>185</v>
      </c>
      <c r="Q60" t="s">
        <v>517</v>
      </c>
      <c r="R60" t="s">
        <v>198</v>
      </c>
      <c r="S60">
        <v>0.1186577723873054</v>
      </c>
      <c r="T60">
        <v>248</v>
      </c>
      <c r="U60">
        <v>0</v>
      </c>
      <c r="V60">
        <v>2024</v>
      </c>
      <c r="W60" t="s">
        <v>353</v>
      </c>
      <c r="X60" t="s">
        <v>261</v>
      </c>
      <c r="Y60" s="2" t="s">
        <v>305</v>
      </c>
      <c r="AA60">
        <v>4.0322580645161289E-3</v>
      </c>
      <c r="AB60">
        <v>248</v>
      </c>
      <c r="AC60">
        <v>6.3500063500095252E-2</v>
      </c>
      <c r="AD60" s="8">
        <v>62</v>
      </c>
      <c r="AE60" s="8">
        <v>0</v>
      </c>
    </row>
    <row r="61" spans="1:31" x14ac:dyDescent="0.35">
      <c r="A61">
        <v>60</v>
      </c>
      <c r="B61">
        <v>41</v>
      </c>
      <c r="C61" t="s">
        <v>61</v>
      </c>
      <c r="D61" t="s">
        <v>80</v>
      </c>
      <c r="E61" t="s">
        <v>389</v>
      </c>
      <c r="F61" t="s">
        <v>97</v>
      </c>
      <c r="G61" t="str">
        <f t="shared" si="0"/>
        <v>NACE3233</v>
      </c>
      <c r="H61">
        <v>3233</v>
      </c>
      <c r="I61" t="s">
        <v>107</v>
      </c>
      <c r="J61" t="s">
        <v>108</v>
      </c>
      <c r="K61" t="s">
        <v>525</v>
      </c>
      <c r="L61" t="s">
        <v>108</v>
      </c>
      <c r="M61" t="s">
        <v>149</v>
      </c>
      <c r="N61" t="s">
        <v>156</v>
      </c>
      <c r="O61" t="s">
        <v>523</v>
      </c>
      <c r="P61" t="s">
        <v>168</v>
      </c>
      <c r="Q61" t="s">
        <v>516</v>
      </c>
      <c r="R61" t="s">
        <v>221</v>
      </c>
      <c r="S61">
        <v>0.4956539316757631</v>
      </c>
      <c r="T61">
        <v>41991</v>
      </c>
      <c r="U61">
        <v>0</v>
      </c>
      <c r="V61">
        <v>2024</v>
      </c>
      <c r="W61" t="s">
        <v>354</v>
      </c>
      <c r="X61" t="s">
        <v>262</v>
      </c>
      <c r="Y61" s="2" t="s">
        <v>306</v>
      </c>
      <c r="AA61">
        <v>2.381462694386892E-5</v>
      </c>
      <c r="AB61">
        <v>41991</v>
      </c>
      <c r="AC61">
        <v>4.8800232523901893E-3</v>
      </c>
      <c r="AD61" s="8">
        <v>63.93</v>
      </c>
      <c r="AE61" s="8">
        <v>0.53120000000000001</v>
      </c>
    </row>
    <row r="62" spans="1:31" x14ac:dyDescent="0.35">
      <c r="A62">
        <v>61</v>
      </c>
      <c r="B62">
        <v>42</v>
      </c>
      <c r="C62" t="s">
        <v>62</v>
      </c>
      <c r="D62" t="s">
        <v>75</v>
      </c>
      <c r="E62" t="s">
        <v>83</v>
      </c>
      <c r="F62" t="s">
        <v>97</v>
      </c>
      <c r="G62" t="str">
        <f t="shared" si="0"/>
        <v>NACE313233</v>
      </c>
      <c r="H62">
        <v>313233</v>
      </c>
      <c r="I62" t="s">
        <v>106</v>
      </c>
      <c r="J62" t="s">
        <v>108</v>
      </c>
      <c r="K62" t="s">
        <v>525</v>
      </c>
      <c r="L62" t="s">
        <v>108</v>
      </c>
      <c r="M62" t="s">
        <v>149</v>
      </c>
      <c r="N62" t="s">
        <v>156</v>
      </c>
      <c r="O62" t="s">
        <v>523</v>
      </c>
      <c r="P62" t="s">
        <v>168</v>
      </c>
      <c r="Q62" t="s">
        <v>518</v>
      </c>
      <c r="R62" t="s">
        <v>214</v>
      </c>
      <c r="S62">
        <v>0.30462906812209423</v>
      </c>
      <c r="T62">
        <v>213</v>
      </c>
      <c r="U62">
        <v>0</v>
      </c>
      <c r="V62">
        <v>2024</v>
      </c>
      <c r="W62" t="s">
        <v>355</v>
      </c>
      <c r="X62" t="s">
        <v>263</v>
      </c>
      <c r="Y62" s="2" t="s">
        <v>307</v>
      </c>
      <c r="AA62">
        <v>4.6948356807511738E-3</v>
      </c>
      <c r="AB62">
        <v>213</v>
      </c>
      <c r="AC62">
        <v>6.8518870982753166E-2</v>
      </c>
      <c r="AD62" s="8">
        <v>61</v>
      </c>
      <c r="AE62" s="8">
        <v>0</v>
      </c>
    </row>
    <row r="63" spans="1:31" x14ac:dyDescent="0.35">
      <c r="A63">
        <v>62</v>
      </c>
      <c r="B63">
        <v>42</v>
      </c>
      <c r="C63" t="s">
        <v>62</v>
      </c>
      <c r="D63" t="s">
        <v>75</v>
      </c>
      <c r="E63" t="s">
        <v>83</v>
      </c>
      <c r="F63" t="s">
        <v>97</v>
      </c>
      <c r="G63" t="str">
        <f t="shared" si="0"/>
        <v>NACE313233</v>
      </c>
      <c r="H63">
        <v>313233</v>
      </c>
      <c r="I63" t="s">
        <v>106</v>
      </c>
      <c r="J63" t="s">
        <v>108</v>
      </c>
      <c r="K63" t="s">
        <v>525</v>
      </c>
      <c r="L63" t="s">
        <v>108</v>
      </c>
      <c r="M63" t="s">
        <v>149</v>
      </c>
      <c r="N63" t="s">
        <v>156</v>
      </c>
      <c r="O63" t="s">
        <v>523</v>
      </c>
      <c r="P63" t="s">
        <v>168</v>
      </c>
      <c r="Q63" t="s">
        <v>514</v>
      </c>
      <c r="R63" t="s">
        <v>222</v>
      </c>
      <c r="S63">
        <v>0.29856478673943809</v>
      </c>
      <c r="T63">
        <v>213</v>
      </c>
      <c r="U63">
        <v>0</v>
      </c>
      <c r="V63">
        <v>2024</v>
      </c>
      <c r="W63" t="s">
        <v>355</v>
      </c>
      <c r="X63" t="s">
        <v>263</v>
      </c>
      <c r="Y63" s="2" t="s">
        <v>307</v>
      </c>
      <c r="AA63">
        <v>4.6948356807511738E-3</v>
      </c>
      <c r="AB63">
        <v>213</v>
      </c>
      <c r="AC63">
        <v>6.8518870982753166E-2</v>
      </c>
      <c r="AD63" s="8">
        <v>61</v>
      </c>
      <c r="AE63" s="8">
        <v>0</v>
      </c>
    </row>
    <row r="64" spans="1:31" x14ac:dyDescent="0.35">
      <c r="A64">
        <v>63</v>
      </c>
      <c r="B64">
        <v>42</v>
      </c>
      <c r="C64" t="s">
        <v>62</v>
      </c>
      <c r="D64" t="s">
        <v>75</v>
      </c>
      <c r="E64" t="s">
        <v>83</v>
      </c>
      <c r="F64" t="s">
        <v>97</v>
      </c>
      <c r="G64" t="str">
        <f t="shared" si="0"/>
        <v>NACE313233</v>
      </c>
      <c r="H64">
        <v>313233</v>
      </c>
      <c r="I64" t="s">
        <v>106</v>
      </c>
      <c r="J64" t="s">
        <v>108</v>
      </c>
      <c r="K64" t="s">
        <v>525</v>
      </c>
      <c r="L64" t="s">
        <v>108</v>
      </c>
      <c r="M64" t="s">
        <v>149</v>
      </c>
      <c r="N64" t="s">
        <v>156</v>
      </c>
      <c r="O64" t="s">
        <v>523</v>
      </c>
      <c r="P64" t="s">
        <v>168</v>
      </c>
      <c r="Q64" t="s">
        <v>518</v>
      </c>
      <c r="R64" t="s">
        <v>214</v>
      </c>
      <c r="S64">
        <v>0.36527188194865567</v>
      </c>
      <c r="T64">
        <v>213</v>
      </c>
      <c r="U64">
        <v>0</v>
      </c>
      <c r="V64">
        <v>2024</v>
      </c>
      <c r="W64" t="s">
        <v>355</v>
      </c>
      <c r="X64" t="s">
        <v>263</v>
      </c>
      <c r="Y64" s="2" t="s">
        <v>307</v>
      </c>
      <c r="AA64">
        <v>4.6948356807511738E-3</v>
      </c>
      <c r="AB64">
        <v>213</v>
      </c>
      <c r="AC64">
        <v>6.8518870982753166E-2</v>
      </c>
      <c r="AD64" s="8">
        <v>61</v>
      </c>
      <c r="AE64" s="8">
        <v>0</v>
      </c>
    </row>
    <row r="65" spans="1:31" x14ac:dyDescent="0.35">
      <c r="A65">
        <v>64</v>
      </c>
      <c r="B65">
        <v>42</v>
      </c>
      <c r="C65" t="s">
        <v>62</v>
      </c>
      <c r="D65" t="s">
        <v>75</v>
      </c>
      <c r="E65" t="s">
        <v>83</v>
      </c>
      <c r="F65" t="s">
        <v>97</v>
      </c>
      <c r="G65" t="str">
        <f t="shared" si="0"/>
        <v>NACE313233</v>
      </c>
      <c r="H65">
        <v>313233</v>
      </c>
      <c r="I65" t="s">
        <v>106</v>
      </c>
      <c r="J65" t="s">
        <v>108</v>
      </c>
      <c r="K65" t="s">
        <v>525</v>
      </c>
      <c r="L65" t="s">
        <v>108</v>
      </c>
      <c r="M65" t="s">
        <v>149</v>
      </c>
      <c r="N65" t="s">
        <v>156</v>
      </c>
      <c r="O65" t="s">
        <v>523</v>
      </c>
      <c r="P65" t="s">
        <v>168</v>
      </c>
      <c r="Q65" t="s">
        <v>518</v>
      </c>
      <c r="R65" t="s">
        <v>214</v>
      </c>
      <c r="S65">
        <v>0.30665049524964633</v>
      </c>
      <c r="T65">
        <v>213</v>
      </c>
      <c r="U65">
        <v>0</v>
      </c>
      <c r="V65">
        <v>2024</v>
      </c>
      <c r="W65" t="s">
        <v>355</v>
      </c>
      <c r="X65" t="s">
        <v>263</v>
      </c>
      <c r="Y65" s="2" t="s">
        <v>307</v>
      </c>
      <c r="AA65">
        <v>4.6948356807511738E-3</v>
      </c>
      <c r="AB65">
        <v>213</v>
      </c>
      <c r="AC65">
        <v>6.8518870982753166E-2</v>
      </c>
      <c r="AD65" s="8">
        <v>61</v>
      </c>
      <c r="AE65" s="8">
        <v>0</v>
      </c>
    </row>
    <row r="66" spans="1:31" x14ac:dyDescent="0.35">
      <c r="A66">
        <v>65</v>
      </c>
      <c r="B66">
        <v>43</v>
      </c>
      <c r="C66" t="s">
        <v>63</v>
      </c>
      <c r="D66" t="s">
        <v>75</v>
      </c>
      <c r="E66" t="s">
        <v>83</v>
      </c>
      <c r="F66" t="s">
        <v>97</v>
      </c>
      <c r="G66" t="str">
        <f t="shared" si="0"/>
        <v>NACE313233</v>
      </c>
      <c r="H66">
        <v>313233</v>
      </c>
      <c r="I66" t="s">
        <v>106</v>
      </c>
      <c r="J66" t="s">
        <v>133</v>
      </c>
      <c r="K66" t="s">
        <v>526</v>
      </c>
      <c r="L66" t="s">
        <v>140</v>
      </c>
      <c r="M66" t="s">
        <v>152</v>
      </c>
      <c r="N66" t="s">
        <v>161</v>
      </c>
      <c r="O66" t="s">
        <v>522</v>
      </c>
      <c r="P66" t="s">
        <v>165</v>
      </c>
      <c r="Q66" t="s">
        <v>514</v>
      </c>
      <c r="R66" t="s">
        <v>222</v>
      </c>
      <c r="S66">
        <v>0.39400000000000002</v>
      </c>
      <c r="T66">
        <v>127</v>
      </c>
      <c r="U66">
        <v>1</v>
      </c>
      <c r="V66">
        <v>2024</v>
      </c>
      <c r="W66" t="s">
        <v>356</v>
      </c>
      <c r="X66" t="s">
        <v>264</v>
      </c>
      <c r="Y66" s="2" t="s">
        <v>308</v>
      </c>
      <c r="AA66">
        <v>7.874015748031496E-3</v>
      </c>
      <c r="AB66">
        <v>127</v>
      </c>
      <c r="AC66">
        <v>8.8735650941611371E-2</v>
      </c>
      <c r="AD66" s="8">
        <v>61</v>
      </c>
      <c r="AE66" s="8">
        <v>0</v>
      </c>
    </row>
    <row r="67" spans="1:31" x14ac:dyDescent="0.35">
      <c r="A67">
        <v>66</v>
      </c>
      <c r="B67">
        <v>43</v>
      </c>
      <c r="C67" t="s">
        <v>63</v>
      </c>
      <c r="D67" t="s">
        <v>75</v>
      </c>
      <c r="E67" t="s">
        <v>83</v>
      </c>
      <c r="F67" t="s">
        <v>97</v>
      </c>
      <c r="G67" t="str">
        <f t="shared" ref="G67:G76" si="1">CONCATENATE("NACE", H67)</f>
        <v>NACE313233</v>
      </c>
      <c r="H67">
        <v>313233</v>
      </c>
      <c r="I67" t="s">
        <v>106</v>
      </c>
      <c r="J67" t="s">
        <v>133</v>
      </c>
      <c r="K67" t="s">
        <v>526</v>
      </c>
      <c r="L67" t="s">
        <v>140</v>
      </c>
      <c r="M67" t="s">
        <v>151</v>
      </c>
      <c r="N67" t="s">
        <v>161</v>
      </c>
      <c r="O67" t="s">
        <v>522</v>
      </c>
      <c r="P67" t="s">
        <v>165</v>
      </c>
      <c r="Q67" t="s">
        <v>514</v>
      </c>
      <c r="R67" t="s">
        <v>222</v>
      </c>
      <c r="S67">
        <v>0.51300000000000001</v>
      </c>
      <c r="T67">
        <v>127</v>
      </c>
      <c r="U67">
        <v>1</v>
      </c>
      <c r="V67">
        <v>2024</v>
      </c>
      <c r="W67" t="s">
        <v>356</v>
      </c>
      <c r="X67" t="s">
        <v>264</v>
      </c>
      <c r="Y67" s="2" t="s">
        <v>308</v>
      </c>
      <c r="AA67">
        <v>7.874015748031496E-3</v>
      </c>
      <c r="AB67">
        <v>127</v>
      </c>
      <c r="AC67">
        <v>8.8735650941611371E-2</v>
      </c>
      <c r="AD67" s="8">
        <v>61</v>
      </c>
      <c r="AE67" s="8">
        <v>0</v>
      </c>
    </row>
    <row r="68" spans="1:31" x14ac:dyDescent="0.35">
      <c r="A68">
        <v>67</v>
      </c>
      <c r="B68">
        <v>44</v>
      </c>
      <c r="C68" t="s">
        <v>64</v>
      </c>
      <c r="D68" t="s">
        <v>75</v>
      </c>
      <c r="E68" t="s">
        <v>86</v>
      </c>
      <c r="F68" t="s">
        <v>97</v>
      </c>
      <c r="G68" t="str">
        <f t="shared" si="1"/>
        <v>NACE313233</v>
      </c>
      <c r="H68">
        <v>313233</v>
      </c>
      <c r="I68" t="s">
        <v>106</v>
      </c>
      <c r="J68" t="s">
        <v>139</v>
      </c>
      <c r="K68" t="s">
        <v>525</v>
      </c>
      <c r="L68" t="s">
        <v>139</v>
      </c>
      <c r="M68" t="s">
        <v>149</v>
      </c>
      <c r="N68" t="s">
        <v>157</v>
      </c>
      <c r="O68" t="s">
        <v>523</v>
      </c>
      <c r="P68" t="s">
        <v>168</v>
      </c>
      <c r="Q68" t="s">
        <v>517</v>
      </c>
      <c r="R68" t="s">
        <v>197</v>
      </c>
      <c r="S68">
        <v>0.188</v>
      </c>
      <c r="T68">
        <v>318</v>
      </c>
      <c r="U68">
        <v>1</v>
      </c>
      <c r="V68">
        <v>2024</v>
      </c>
      <c r="W68" t="s">
        <v>357</v>
      </c>
      <c r="X68" t="s">
        <v>265</v>
      </c>
      <c r="Y68" s="2" t="s">
        <v>309</v>
      </c>
      <c r="AA68">
        <v>3.1446540880503151E-3</v>
      </c>
      <c r="AB68">
        <v>318</v>
      </c>
      <c r="AC68">
        <v>5.6077215409204434E-2</v>
      </c>
      <c r="AD68" s="8">
        <v>62</v>
      </c>
      <c r="AE68" s="8">
        <v>0</v>
      </c>
    </row>
    <row r="69" spans="1:31" x14ac:dyDescent="0.35">
      <c r="A69">
        <v>68</v>
      </c>
      <c r="B69">
        <v>45</v>
      </c>
      <c r="C69" t="s">
        <v>65</v>
      </c>
      <c r="D69" t="s">
        <v>75</v>
      </c>
      <c r="E69" t="s">
        <v>86</v>
      </c>
      <c r="F69" t="s">
        <v>97</v>
      </c>
      <c r="G69" t="str">
        <f t="shared" si="1"/>
        <v>NACE313233</v>
      </c>
      <c r="H69">
        <v>313233</v>
      </c>
      <c r="I69" t="s">
        <v>106</v>
      </c>
      <c r="J69" t="s">
        <v>108</v>
      </c>
      <c r="K69" t="s">
        <v>525</v>
      </c>
      <c r="L69" t="s">
        <v>108</v>
      </c>
      <c r="M69" t="s">
        <v>149</v>
      </c>
      <c r="N69" t="s">
        <v>156</v>
      </c>
      <c r="O69" t="s">
        <v>523</v>
      </c>
      <c r="P69" t="s">
        <v>192</v>
      </c>
      <c r="Q69" t="s">
        <v>517</v>
      </c>
      <c r="R69" t="s">
        <v>197</v>
      </c>
      <c r="S69">
        <v>0.1346270466949667</v>
      </c>
      <c r="T69">
        <v>200</v>
      </c>
      <c r="U69">
        <v>0</v>
      </c>
      <c r="V69">
        <v>2024</v>
      </c>
      <c r="W69" t="s">
        <v>358</v>
      </c>
      <c r="X69" t="s">
        <v>266</v>
      </c>
      <c r="Y69" s="2" t="s">
        <v>310</v>
      </c>
      <c r="AA69">
        <v>5.0000000000000001E-3</v>
      </c>
      <c r="AB69">
        <v>200</v>
      </c>
      <c r="AC69">
        <v>7.0710678118654752E-2</v>
      </c>
      <c r="AD69" s="8">
        <v>62</v>
      </c>
      <c r="AE69" s="8">
        <v>0</v>
      </c>
    </row>
    <row r="70" spans="1:31" x14ac:dyDescent="0.35">
      <c r="A70">
        <v>69</v>
      </c>
      <c r="B70">
        <v>45</v>
      </c>
      <c r="C70" t="s">
        <v>65</v>
      </c>
      <c r="D70" t="s">
        <v>75</v>
      </c>
      <c r="E70" t="s">
        <v>86</v>
      </c>
      <c r="F70" t="s">
        <v>97</v>
      </c>
      <c r="G70" t="str">
        <f t="shared" si="1"/>
        <v>NACE313233</v>
      </c>
      <c r="H70">
        <v>313233</v>
      </c>
      <c r="I70" t="s">
        <v>106</v>
      </c>
      <c r="J70" t="s">
        <v>108</v>
      </c>
      <c r="K70" t="s">
        <v>525</v>
      </c>
      <c r="L70" t="s">
        <v>108</v>
      </c>
      <c r="M70" t="s">
        <v>149</v>
      </c>
      <c r="N70" t="s">
        <v>156</v>
      </c>
      <c r="O70" t="s">
        <v>523</v>
      </c>
      <c r="P70" t="s">
        <v>193</v>
      </c>
      <c r="Q70" t="s">
        <v>517</v>
      </c>
      <c r="R70" t="s">
        <v>197</v>
      </c>
      <c r="S70">
        <v>0.112</v>
      </c>
      <c r="T70">
        <v>200</v>
      </c>
      <c r="U70">
        <v>0</v>
      </c>
      <c r="V70">
        <v>2024</v>
      </c>
      <c r="W70" t="s">
        <v>358</v>
      </c>
      <c r="X70" t="s">
        <v>266</v>
      </c>
      <c r="Y70" s="2" t="s">
        <v>310</v>
      </c>
      <c r="AA70">
        <v>5.0000000000000001E-3</v>
      </c>
      <c r="AB70">
        <v>200</v>
      </c>
      <c r="AC70">
        <v>7.0710678118654752E-2</v>
      </c>
      <c r="AD70" s="8">
        <v>62</v>
      </c>
      <c r="AE70" s="8">
        <v>0</v>
      </c>
    </row>
    <row r="71" spans="1:31" x14ac:dyDescent="0.35">
      <c r="A71">
        <v>70</v>
      </c>
      <c r="B71">
        <v>46</v>
      </c>
      <c r="C71" t="s">
        <v>532</v>
      </c>
      <c r="D71" t="s">
        <v>69</v>
      </c>
      <c r="E71" t="s">
        <v>86</v>
      </c>
      <c r="F71" t="s">
        <v>77</v>
      </c>
      <c r="G71" t="str">
        <f t="shared" si="1"/>
        <v>NACE313233</v>
      </c>
      <c r="H71">
        <v>313233</v>
      </c>
      <c r="I71" t="s">
        <v>107</v>
      </c>
      <c r="J71" t="s">
        <v>120</v>
      </c>
      <c r="K71" t="s">
        <v>525</v>
      </c>
      <c r="L71" t="s">
        <v>120</v>
      </c>
      <c r="M71" t="s">
        <v>149</v>
      </c>
      <c r="N71" t="s">
        <v>156</v>
      </c>
      <c r="O71" t="s">
        <v>523</v>
      </c>
      <c r="P71" t="s">
        <v>168</v>
      </c>
      <c r="Q71" t="s">
        <v>516</v>
      </c>
      <c r="R71" t="s">
        <v>533</v>
      </c>
      <c r="S71">
        <v>0.41</v>
      </c>
      <c r="T71">
        <v>334</v>
      </c>
      <c r="U71">
        <v>0</v>
      </c>
      <c r="V71">
        <v>2025</v>
      </c>
      <c r="W71" t="s">
        <v>558</v>
      </c>
      <c r="X71" t="s">
        <v>534</v>
      </c>
      <c r="Y71" s="2" t="s">
        <v>535</v>
      </c>
      <c r="AA71">
        <f t="shared" ref="AA71:AA76" si="2">1/T71</f>
        <v>2.9940119760479044E-3</v>
      </c>
      <c r="AB71">
        <f t="shared" ref="AB71:AB76" si="3">T71</f>
        <v>334</v>
      </c>
      <c r="AC71" s="10">
        <f t="shared" ref="AC71:AC76" si="4">SQRT(AA71)</f>
        <v>5.4717565516458282E-2</v>
      </c>
      <c r="AD71" s="8">
        <v>62</v>
      </c>
    </row>
    <row r="72" spans="1:31" x14ac:dyDescent="0.35">
      <c r="A72">
        <v>71</v>
      </c>
      <c r="B72">
        <v>47</v>
      </c>
      <c r="C72" t="s">
        <v>536</v>
      </c>
      <c r="D72" t="s">
        <v>537</v>
      </c>
      <c r="E72" t="s">
        <v>531</v>
      </c>
      <c r="F72" t="s">
        <v>97</v>
      </c>
      <c r="G72" t="str">
        <f t="shared" si="1"/>
        <v>NACE313233</v>
      </c>
      <c r="H72">
        <v>313233</v>
      </c>
      <c r="I72" t="s">
        <v>106</v>
      </c>
      <c r="J72" t="s">
        <v>116</v>
      </c>
      <c r="K72" t="s">
        <v>525</v>
      </c>
      <c r="L72" t="s">
        <v>140</v>
      </c>
      <c r="M72" t="s">
        <v>151</v>
      </c>
      <c r="N72" t="s">
        <v>161</v>
      </c>
      <c r="O72" t="s">
        <v>522</v>
      </c>
      <c r="P72" t="s">
        <v>165</v>
      </c>
      <c r="Q72" t="s">
        <v>517</v>
      </c>
      <c r="R72" t="s">
        <v>197</v>
      </c>
      <c r="S72">
        <v>0.153</v>
      </c>
      <c r="T72">
        <v>89</v>
      </c>
      <c r="U72">
        <v>1</v>
      </c>
      <c r="V72">
        <v>2025</v>
      </c>
      <c r="W72" t="s">
        <v>559</v>
      </c>
      <c r="X72" t="s">
        <v>538</v>
      </c>
      <c r="Y72" s="2" t="s">
        <v>539</v>
      </c>
      <c r="AA72">
        <f t="shared" si="2"/>
        <v>1.1235955056179775E-2</v>
      </c>
      <c r="AB72">
        <f t="shared" si="3"/>
        <v>89</v>
      </c>
      <c r="AC72" s="10">
        <f t="shared" si="4"/>
        <v>0.105999788000636</v>
      </c>
      <c r="AD72" s="8">
        <v>28</v>
      </c>
    </row>
    <row r="73" spans="1:31" x14ac:dyDescent="0.35">
      <c r="A73">
        <v>72</v>
      </c>
      <c r="B73">
        <v>48</v>
      </c>
      <c r="C73" t="s">
        <v>540</v>
      </c>
      <c r="D73" t="s">
        <v>69</v>
      </c>
      <c r="E73" t="s">
        <v>86</v>
      </c>
      <c r="F73" t="s">
        <v>97</v>
      </c>
      <c r="G73" t="str">
        <f t="shared" si="1"/>
        <v>NACE313233</v>
      </c>
      <c r="H73">
        <v>313233</v>
      </c>
      <c r="I73" t="s">
        <v>106</v>
      </c>
      <c r="J73" t="s">
        <v>133</v>
      </c>
      <c r="K73" t="s">
        <v>526</v>
      </c>
      <c r="L73" t="s">
        <v>140</v>
      </c>
      <c r="M73" t="s">
        <v>151</v>
      </c>
      <c r="N73" t="s">
        <v>157</v>
      </c>
      <c r="O73" t="s">
        <v>522</v>
      </c>
      <c r="P73" t="s">
        <v>165</v>
      </c>
      <c r="Q73" t="s">
        <v>517</v>
      </c>
      <c r="R73" t="s">
        <v>541</v>
      </c>
      <c r="S73">
        <v>0.49099999999999999</v>
      </c>
      <c r="T73">
        <v>294</v>
      </c>
      <c r="U73">
        <v>1</v>
      </c>
      <c r="V73">
        <v>2025</v>
      </c>
      <c r="W73" t="s">
        <v>560</v>
      </c>
      <c r="X73" t="s">
        <v>542</v>
      </c>
      <c r="Y73" s="2" t="s">
        <v>543</v>
      </c>
      <c r="AA73">
        <f t="shared" si="2"/>
        <v>3.4013605442176869E-3</v>
      </c>
      <c r="AB73">
        <f t="shared" si="3"/>
        <v>294</v>
      </c>
      <c r="AC73" s="10">
        <f t="shared" si="4"/>
        <v>5.8321184351980429E-2</v>
      </c>
      <c r="AD73" s="8">
        <v>62</v>
      </c>
    </row>
    <row r="74" spans="1:31" x14ac:dyDescent="0.35">
      <c r="A74">
        <v>73</v>
      </c>
      <c r="B74">
        <v>49</v>
      </c>
      <c r="C74" t="s">
        <v>544</v>
      </c>
      <c r="D74" t="s">
        <v>545</v>
      </c>
      <c r="E74" t="s">
        <v>86</v>
      </c>
      <c r="F74" t="s">
        <v>97</v>
      </c>
      <c r="G74" t="str">
        <f t="shared" si="1"/>
        <v>NACE313233</v>
      </c>
      <c r="H74">
        <v>313233</v>
      </c>
      <c r="I74" t="s">
        <v>106</v>
      </c>
      <c r="J74" t="s">
        <v>108</v>
      </c>
      <c r="K74" t="s">
        <v>526</v>
      </c>
      <c r="L74" t="s">
        <v>140</v>
      </c>
      <c r="M74" t="s">
        <v>152</v>
      </c>
      <c r="N74" t="s">
        <v>157</v>
      </c>
      <c r="O74" t="s">
        <v>522</v>
      </c>
      <c r="P74" t="s">
        <v>165</v>
      </c>
      <c r="Q74" t="s">
        <v>518</v>
      </c>
      <c r="R74" t="s">
        <v>215</v>
      </c>
      <c r="S74">
        <v>0.20399999999999999</v>
      </c>
      <c r="T74">
        <v>519</v>
      </c>
      <c r="U74">
        <v>1</v>
      </c>
      <c r="V74">
        <v>2025</v>
      </c>
      <c r="W74" t="s">
        <v>561</v>
      </c>
      <c r="X74" t="s">
        <v>546</v>
      </c>
      <c r="Y74" s="2" t="s">
        <v>547</v>
      </c>
      <c r="AA74">
        <f t="shared" si="2"/>
        <v>1.9267822736030828E-3</v>
      </c>
      <c r="AB74">
        <f t="shared" si="3"/>
        <v>519</v>
      </c>
      <c r="AC74" s="10">
        <f t="shared" si="4"/>
        <v>4.3895128130614712E-2</v>
      </c>
      <c r="AD74" s="8">
        <v>62</v>
      </c>
    </row>
    <row r="75" spans="1:31" x14ac:dyDescent="0.35">
      <c r="A75">
        <v>74</v>
      </c>
      <c r="B75">
        <v>50</v>
      </c>
      <c r="C75" t="s">
        <v>548</v>
      </c>
      <c r="D75" t="s">
        <v>69</v>
      </c>
      <c r="E75" t="s">
        <v>404</v>
      </c>
      <c r="F75" t="s">
        <v>97</v>
      </c>
      <c r="G75" t="str">
        <f t="shared" si="1"/>
        <v>NACE313233</v>
      </c>
      <c r="H75">
        <v>313233</v>
      </c>
      <c r="I75" t="s">
        <v>106</v>
      </c>
      <c r="J75" t="s">
        <v>134</v>
      </c>
      <c r="K75" t="s">
        <v>526</v>
      </c>
      <c r="L75" t="s">
        <v>140</v>
      </c>
      <c r="M75" t="s">
        <v>151</v>
      </c>
      <c r="N75" t="s">
        <v>157</v>
      </c>
      <c r="O75" t="s">
        <v>522</v>
      </c>
      <c r="P75" t="s">
        <v>165</v>
      </c>
      <c r="Q75" t="s">
        <v>517</v>
      </c>
      <c r="R75" t="s">
        <v>198</v>
      </c>
      <c r="S75">
        <v>0.20899999999999999</v>
      </c>
      <c r="T75">
        <v>265</v>
      </c>
      <c r="U75">
        <v>1</v>
      </c>
      <c r="V75">
        <v>2025</v>
      </c>
      <c r="W75" t="s">
        <v>562</v>
      </c>
      <c r="X75" t="s">
        <v>549</v>
      </c>
      <c r="Y75" s="2" t="s">
        <v>550</v>
      </c>
      <c r="AA75">
        <f t="shared" si="2"/>
        <v>3.7735849056603774E-3</v>
      </c>
      <c r="AB75">
        <f t="shared" si="3"/>
        <v>265</v>
      </c>
      <c r="AC75" s="10">
        <f t="shared" si="4"/>
        <v>6.1429511683395117E-2</v>
      </c>
      <c r="AD75" s="8">
        <v>46</v>
      </c>
    </row>
    <row r="76" spans="1:31" x14ac:dyDescent="0.35">
      <c r="A76">
        <v>75</v>
      </c>
      <c r="B76">
        <v>51</v>
      </c>
      <c r="C76" t="s">
        <v>551</v>
      </c>
      <c r="D76" t="s">
        <v>552</v>
      </c>
      <c r="E76" t="s">
        <v>86</v>
      </c>
      <c r="F76" t="s">
        <v>97</v>
      </c>
      <c r="G76" t="str">
        <f t="shared" si="1"/>
        <v>NACE313233</v>
      </c>
      <c r="H76">
        <v>313233</v>
      </c>
      <c r="I76" t="s">
        <v>107</v>
      </c>
      <c r="J76" t="s">
        <v>108</v>
      </c>
      <c r="K76" t="s">
        <v>526</v>
      </c>
      <c r="L76" t="s">
        <v>140</v>
      </c>
      <c r="M76" t="s">
        <v>152</v>
      </c>
      <c r="N76" t="s">
        <v>156</v>
      </c>
      <c r="O76" t="s">
        <v>521</v>
      </c>
      <c r="P76" t="s">
        <v>185</v>
      </c>
      <c r="Q76" t="s">
        <v>518</v>
      </c>
      <c r="R76" t="s">
        <v>553</v>
      </c>
      <c r="S76">
        <v>0.52600000000000002</v>
      </c>
      <c r="T76">
        <v>2523</v>
      </c>
      <c r="U76">
        <v>1</v>
      </c>
      <c r="V76">
        <v>2026</v>
      </c>
      <c r="W76" t="s">
        <v>563</v>
      </c>
      <c r="X76" t="s">
        <v>554</v>
      </c>
      <c r="Y76" s="2" t="s">
        <v>555</v>
      </c>
      <c r="AA76">
        <f t="shared" si="2"/>
        <v>3.9635354736424893E-4</v>
      </c>
      <c r="AB76">
        <f t="shared" si="3"/>
        <v>2523</v>
      </c>
      <c r="AC76" s="10">
        <f t="shared" si="4"/>
        <v>1.9908629972056061E-2</v>
      </c>
      <c r="AD76" s="8">
        <v>62</v>
      </c>
    </row>
    <row r="77" spans="1:31" x14ac:dyDescent="0.35">
      <c r="Y77" s="2"/>
      <c r="AD77" s="8"/>
      <c r="AE77" s="8"/>
    </row>
    <row r="78" spans="1:31" x14ac:dyDescent="0.35">
      <c r="Y78" s="2"/>
      <c r="AD78" s="8"/>
      <c r="AE78" s="8"/>
    </row>
    <row r="79" spans="1:31" x14ac:dyDescent="0.35">
      <c r="Y79" s="2"/>
      <c r="AD79" s="8"/>
      <c r="AE79" s="8"/>
    </row>
  </sheetData>
  <hyperlinks>
    <hyperlink ref="Y2" r:id="rId1" xr:uid="{00000000-0004-0000-0000-000000000000}"/>
    <hyperlink ref="Y3" r:id="rId2" xr:uid="{00000000-0004-0000-0000-000001000000}"/>
    <hyperlink ref="Y4" r:id="rId3" xr:uid="{00000000-0004-0000-0000-000002000000}"/>
    <hyperlink ref="Y5" r:id="rId4" xr:uid="{00000000-0004-0000-0000-000003000000}"/>
    <hyperlink ref="Y6" r:id="rId5" xr:uid="{00000000-0004-0000-0000-000004000000}"/>
    <hyperlink ref="Y7" r:id="rId6" xr:uid="{00000000-0004-0000-0000-000005000000}"/>
    <hyperlink ref="Y8" r:id="rId7" xr:uid="{00000000-0004-0000-0000-000006000000}"/>
    <hyperlink ref="Y9" r:id="rId8" xr:uid="{00000000-0004-0000-0000-000007000000}"/>
    <hyperlink ref="Y10" r:id="rId9" xr:uid="{00000000-0004-0000-0000-000008000000}"/>
    <hyperlink ref="Y11" r:id="rId10" xr:uid="{00000000-0004-0000-0000-000009000000}"/>
    <hyperlink ref="Y12" r:id="rId11" xr:uid="{00000000-0004-0000-0000-00000A000000}"/>
    <hyperlink ref="Y13" r:id="rId12" xr:uid="{00000000-0004-0000-0000-00000B000000}"/>
    <hyperlink ref="Y14" r:id="rId13" xr:uid="{00000000-0004-0000-0000-00000C000000}"/>
    <hyperlink ref="Y15" r:id="rId14" xr:uid="{00000000-0004-0000-0000-00000D000000}"/>
    <hyperlink ref="Y16" r:id="rId15" xr:uid="{00000000-0004-0000-0000-00000E000000}"/>
    <hyperlink ref="Y17" r:id="rId16" xr:uid="{00000000-0004-0000-0000-00000F000000}"/>
    <hyperlink ref="Y18" r:id="rId17" xr:uid="{00000000-0004-0000-0000-000010000000}"/>
    <hyperlink ref="Y19" r:id="rId18" xr:uid="{00000000-0004-0000-0000-000011000000}"/>
    <hyperlink ref="Y20" r:id="rId19" xr:uid="{00000000-0004-0000-0000-000012000000}"/>
    <hyperlink ref="Y21" r:id="rId20" xr:uid="{00000000-0004-0000-0000-000013000000}"/>
    <hyperlink ref="Y22" r:id="rId21" xr:uid="{00000000-0004-0000-0000-000014000000}"/>
    <hyperlink ref="Y23" r:id="rId22" xr:uid="{00000000-0004-0000-0000-000015000000}"/>
    <hyperlink ref="Y24" r:id="rId23" xr:uid="{00000000-0004-0000-0000-000016000000}"/>
    <hyperlink ref="Y25" r:id="rId24" xr:uid="{00000000-0004-0000-0000-000017000000}"/>
    <hyperlink ref="Y26" r:id="rId25" xr:uid="{00000000-0004-0000-0000-000018000000}"/>
    <hyperlink ref="Y27" r:id="rId26" xr:uid="{00000000-0004-0000-0000-000019000000}"/>
    <hyperlink ref="Y28" r:id="rId27" xr:uid="{00000000-0004-0000-0000-00001A000000}"/>
    <hyperlink ref="Y29" r:id="rId28" xr:uid="{00000000-0004-0000-0000-00001B000000}"/>
    <hyperlink ref="Y30" r:id="rId29" xr:uid="{00000000-0004-0000-0000-00001C000000}"/>
    <hyperlink ref="Y31" r:id="rId30" xr:uid="{00000000-0004-0000-0000-00001D000000}"/>
    <hyperlink ref="Y32" r:id="rId31" xr:uid="{00000000-0004-0000-0000-00001E000000}"/>
    <hyperlink ref="Y33" r:id="rId32" xr:uid="{00000000-0004-0000-0000-00001F000000}"/>
    <hyperlink ref="Y34" r:id="rId33" xr:uid="{00000000-0004-0000-0000-000020000000}"/>
    <hyperlink ref="Y35" r:id="rId34" xr:uid="{00000000-0004-0000-0000-000021000000}"/>
    <hyperlink ref="Y36" r:id="rId35" xr:uid="{00000000-0004-0000-0000-000022000000}"/>
    <hyperlink ref="Y37" r:id="rId36" xr:uid="{00000000-0004-0000-0000-000023000000}"/>
    <hyperlink ref="Y38" r:id="rId37" xr:uid="{00000000-0004-0000-0000-000024000000}"/>
    <hyperlink ref="Y39" r:id="rId38" xr:uid="{00000000-0004-0000-0000-000025000000}"/>
    <hyperlink ref="Y40" r:id="rId39" xr:uid="{00000000-0004-0000-0000-000026000000}"/>
    <hyperlink ref="Y41" r:id="rId40" xr:uid="{00000000-0004-0000-0000-000027000000}"/>
    <hyperlink ref="Y42" r:id="rId41" xr:uid="{00000000-0004-0000-0000-000028000000}"/>
    <hyperlink ref="Y43" r:id="rId42" xr:uid="{00000000-0004-0000-0000-000029000000}"/>
    <hyperlink ref="Y44" r:id="rId43" xr:uid="{00000000-0004-0000-0000-00002A000000}"/>
    <hyperlink ref="Y45" r:id="rId44" xr:uid="{00000000-0004-0000-0000-00002B000000}"/>
    <hyperlink ref="Y46" r:id="rId45" xr:uid="{00000000-0004-0000-0000-00002C000000}"/>
    <hyperlink ref="Y47" r:id="rId46" xr:uid="{00000000-0004-0000-0000-00002D000000}"/>
    <hyperlink ref="Y48" r:id="rId47" xr:uid="{00000000-0004-0000-0000-00002E000000}"/>
    <hyperlink ref="Y49" r:id="rId48" xr:uid="{00000000-0004-0000-0000-00002F000000}"/>
    <hyperlink ref="Y50" r:id="rId49" xr:uid="{00000000-0004-0000-0000-000030000000}"/>
    <hyperlink ref="Y51" r:id="rId50" xr:uid="{00000000-0004-0000-0000-000031000000}"/>
    <hyperlink ref="Y52" r:id="rId51" xr:uid="{00000000-0004-0000-0000-000032000000}"/>
    <hyperlink ref="Y53" r:id="rId52" xr:uid="{00000000-0004-0000-0000-000033000000}"/>
    <hyperlink ref="Y56" r:id="rId53" xr:uid="{00000000-0004-0000-0000-000034000000}"/>
    <hyperlink ref="Y57" r:id="rId54" xr:uid="{00000000-0004-0000-0000-000035000000}"/>
    <hyperlink ref="Y58" r:id="rId55" xr:uid="{00000000-0004-0000-0000-000036000000}"/>
    <hyperlink ref="Y59" r:id="rId56" xr:uid="{00000000-0004-0000-0000-000037000000}"/>
    <hyperlink ref="Y60" r:id="rId57" xr:uid="{00000000-0004-0000-0000-000038000000}"/>
    <hyperlink ref="Y61" r:id="rId58" xr:uid="{00000000-0004-0000-0000-000039000000}"/>
    <hyperlink ref="Y62" r:id="rId59" xr:uid="{00000000-0004-0000-0000-00003A000000}"/>
    <hyperlink ref="Y63" r:id="rId60" xr:uid="{00000000-0004-0000-0000-00003B000000}"/>
    <hyperlink ref="Y64" r:id="rId61" xr:uid="{00000000-0004-0000-0000-00003C000000}"/>
    <hyperlink ref="Y65" r:id="rId62" xr:uid="{00000000-0004-0000-0000-00003D000000}"/>
    <hyperlink ref="Y66" r:id="rId63" xr:uid="{00000000-0004-0000-0000-00003E000000}"/>
    <hyperlink ref="Y67" r:id="rId64" xr:uid="{00000000-0004-0000-0000-00003F000000}"/>
    <hyperlink ref="Y68" r:id="rId65" xr:uid="{00000000-0004-0000-0000-000040000000}"/>
    <hyperlink ref="Y69" r:id="rId66" xr:uid="{00000000-0004-0000-0000-000041000000}"/>
    <hyperlink ref="Y70" r:id="rId67" xr:uid="{00000000-0004-0000-0000-000042000000}"/>
    <hyperlink ref="Y71" r:id="rId68" xr:uid="{EAAEA33B-7A03-4ED1-9427-A92ABDBD10E4}"/>
    <hyperlink ref="Y72" r:id="rId69" xr:uid="{24724D92-AAD3-48F4-8872-CE2DBE0B9235}"/>
    <hyperlink ref="Y73" r:id="rId70" xr:uid="{C5B4F361-654C-411A-A61E-75547C2AEA6E}"/>
    <hyperlink ref="Y74" r:id="rId71" xr:uid="{63DB4C58-C78B-4D20-A9ED-F017EAB6FFB3}"/>
    <hyperlink ref="Y75" r:id="rId72" xr:uid="{B50B2EBA-004E-4591-9A80-A395CD36F68C}"/>
    <hyperlink ref="Y76" r:id="rId73" xr:uid="{66AA400F-B355-4F5D-9667-B39BD174322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05398-DF10-4024-8270-A7D7181C4227}">
  <dimension ref="A1:E98"/>
  <sheetViews>
    <sheetView topLeftCell="A2" workbookViewId="0">
      <selection activeCell="E1" sqref="E1"/>
    </sheetView>
  </sheetViews>
  <sheetFormatPr defaultColWidth="9.1796875" defaultRowHeight="14.5" x14ac:dyDescent="0.35"/>
  <cols>
    <col min="2" max="2" width="18.453125" style="5" customWidth="1"/>
    <col min="3" max="3" width="39.54296875" bestFit="1" customWidth="1"/>
    <col min="4" max="4" width="47.1796875" bestFit="1" customWidth="1"/>
    <col min="5" max="5" width="105.81640625" bestFit="1" customWidth="1"/>
  </cols>
  <sheetData>
    <row r="1" spans="1:5" x14ac:dyDescent="0.35">
      <c r="A1" s="4" t="s">
        <v>405</v>
      </c>
      <c r="B1" s="4" t="s">
        <v>366</v>
      </c>
      <c r="C1" t="s">
        <v>386</v>
      </c>
      <c r="D1" t="s">
        <v>387</v>
      </c>
      <c r="E1" t="s">
        <v>388</v>
      </c>
    </row>
    <row r="2" spans="1:5" x14ac:dyDescent="0.35">
      <c r="A2" s="6">
        <v>1</v>
      </c>
      <c r="B2" s="6" t="s">
        <v>390</v>
      </c>
    </row>
    <row r="3" spans="1:5" x14ac:dyDescent="0.35">
      <c r="A3" s="6">
        <v>2</v>
      </c>
      <c r="B3" s="6" t="s">
        <v>367</v>
      </c>
    </row>
    <row r="4" spans="1:5" x14ac:dyDescent="0.35">
      <c r="A4" s="6">
        <v>3</v>
      </c>
      <c r="B4" s="6" t="s">
        <v>368</v>
      </c>
    </row>
    <row r="5" spans="1:5" x14ac:dyDescent="0.35">
      <c r="A5" s="6">
        <v>4</v>
      </c>
      <c r="B5" s="6" t="s">
        <v>87</v>
      </c>
    </row>
    <row r="6" spans="1:5" x14ac:dyDescent="0.35">
      <c r="A6" s="6">
        <v>5</v>
      </c>
      <c r="B6" s="6" t="s">
        <v>369</v>
      </c>
    </row>
    <row r="7" spans="1:5" x14ac:dyDescent="0.35">
      <c r="A7" s="6">
        <v>6</v>
      </c>
      <c r="B7" s="6" t="s">
        <v>391</v>
      </c>
    </row>
    <row r="8" spans="1:5" x14ac:dyDescent="0.35">
      <c r="A8" s="6">
        <v>7</v>
      </c>
      <c r="B8" s="6" t="s">
        <v>86</v>
      </c>
    </row>
    <row r="9" spans="1:5" x14ac:dyDescent="0.35">
      <c r="A9" s="6">
        <v>8</v>
      </c>
      <c r="B9" s="6" t="s">
        <v>392</v>
      </c>
    </row>
    <row r="10" spans="1:5" x14ac:dyDescent="0.35">
      <c r="A10" s="6">
        <v>9</v>
      </c>
      <c r="B10" s="6" t="s">
        <v>81</v>
      </c>
    </row>
    <row r="11" spans="1:5" x14ac:dyDescent="0.35">
      <c r="A11" s="6">
        <v>10</v>
      </c>
      <c r="B11" s="6" t="s">
        <v>370</v>
      </c>
    </row>
    <row r="12" spans="1:5" x14ac:dyDescent="0.35">
      <c r="A12" s="6">
        <v>11</v>
      </c>
      <c r="B12" s="6" t="s">
        <v>393</v>
      </c>
    </row>
    <row r="13" spans="1:5" x14ac:dyDescent="0.35">
      <c r="A13" s="6">
        <v>12</v>
      </c>
      <c r="B13" s="6" t="s">
        <v>371</v>
      </c>
    </row>
    <row r="14" spans="1:5" x14ac:dyDescent="0.35">
      <c r="A14" s="6">
        <v>13</v>
      </c>
      <c r="B14" s="6" t="s">
        <v>372</v>
      </c>
    </row>
    <row r="15" spans="1:5" x14ac:dyDescent="0.35">
      <c r="A15" s="6">
        <v>14</v>
      </c>
      <c r="B15" s="6" t="s">
        <v>88</v>
      </c>
    </row>
    <row r="16" spans="1:5" x14ac:dyDescent="0.35">
      <c r="A16" s="6">
        <v>15</v>
      </c>
      <c r="B16" s="6" t="s">
        <v>373</v>
      </c>
    </row>
    <row r="17" spans="1:2" x14ac:dyDescent="0.35">
      <c r="A17" s="6">
        <v>16</v>
      </c>
      <c r="B17" s="6" t="s">
        <v>374</v>
      </c>
    </row>
    <row r="18" spans="1:2" x14ac:dyDescent="0.35">
      <c r="A18" s="6">
        <v>17</v>
      </c>
      <c r="B18" s="6" t="s">
        <v>375</v>
      </c>
    </row>
    <row r="19" spans="1:2" x14ac:dyDescent="0.35">
      <c r="A19" s="6">
        <v>18</v>
      </c>
      <c r="B19" s="6" t="s">
        <v>376</v>
      </c>
    </row>
    <row r="20" spans="1:2" x14ac:dyDescent="0.35">
      <c r="A20" s="6">
        <v>19</v>
      </c>
      <c r="B20" s="6" t="s">
        <v>90</v>
      </c>
    </row>
    <row r="21" spans="1:2" x14ac:dyDescent="0.35">
      <c r="A21" s="6">
        <v>20</v>
      </c>
      <c r="B21" s="6" t="s">
        <v>394</v>
      </c>
    </row>
    <row r="22" spans="1:2" x14ac:dyDescent="0.35">
      <c r="A22" s="6">
        <v>21</v>
      </c>
      <c r="B22" s="6" t="s">
        <v>395</v>
      </c>
    </row>
    <row r="23" spans="1:2" x14ac:dyDescent="0.35">
      <c r="A23" s="6">
        <v>22</v>
      </c>
      <c r="B23" s="6" t="s">
        <v>85</v>
      </c>
    </row>
    <row r="24" spans="1:2" x14ac:dyDescent="0.35">
      <c r="A24" s="6">
        <v>23</v>
      </c>
      <c r="B24" s="6" t="s">
        <v>377</v>
      </c>
    </row>
    <row r="25" spans="1:2" x14ac:dyDescent="0.35">
      <c r="A25" s="6">
        <v>24</v>
      </c>
      <c r="B25" s="6" t="s">
        <v>403</v>
      </c>
    </row>
    <row r="26" spans="1:2" x14ac:dyDescent="0.35">
      <c r="A26" s="6">
        <v>25</v>
      </c>
      <c r="B26" s="6" t="s">
        <v>396</v>
      </c>
    </row>
    <row r="27" spans="1:2" x14ac:dyDescent="0.35">
      <c r="A27" s="6">
        <v>26</v>
      </c>
      <c r="B27" s="6" t="s">
        <v>397</v>
      </c>
    </row>
    <row r="28" spans="1:2" x14ac:dyDescent="0.35">
      <c r="A28" s="6">
        <v>27</v>
      </c>
      <c r="B28" s="6" t="s">
        <v>398</v>
      </c>
    </row>
    <row r="29" spans="1:2" x14ac:dyDescent="0.35">
      <c r="A29" s="6">
        <v>28</v>
      </c>
      <c r="B29" s="6" t="s">
        <v>399</v>
      </c>
    </row>
    <row r="30" spans="1:2" x14ac:dyDescent="0.35">
      <c r="A30" s="6">
        <v>29</v>
      </c>
      <c r="B30" s="6" t="s">
        <v>378</v>
      </c>
    </row>
    <row r="31" spans="1:2" x14ac:dyDescent="0.35">
      <c r="A31" s="6">
        <v>30</v>
      </c>
      <c r="B31" s="6" t="s">
        <v>400</v>
      </c>
    </row>
    <row r="32" spans="1:2" x14ac:dyDescent="0.35">
      <c r="A32" s="6">
        <v>31</v>
      </c>
      <c r="B32" s="6" t="s">
        <v>400</v>
      </c>
    </row>
    <row r="33" spans="1:2" x14ac:dyDescent="0.35">
      <c r="A33" s="6">
        <v>32</v>
      </c>
      <c r="B33" s="6" t="s">
        <v>379</v>
      </c>
    </row>
    <row r="34" spans="1:2" x14ac:dyDescent="0.35">
      <c r="A34" s="6">
        <v>33</v>
      </c>
      <c r="B34" s="6" t="s">
        <v>401</v>
      </c>
    </row>
    <row r="35" spans="1:2" x14ac:dyDescent="0.35">
      <c r="A35" s="6">
        <v>34</v>
      </c>
      <c r="B35" s="6" t="s">
        <v>380</v>
      </c>
    </row>
    <row r="36" spans="1:2" x14ac:dyDescent="0.35">
      <c r="A36" s="6">
        <v>35</v>
      </c>
      <c r="B36" s="6" t="s">
        <v>381</v>
      </c>
    </row>
    <row r="37" spans="1:2" x14ac:dyDescent="0.35">
      <c r="A37" s="6">
        <v>36</v>
      </c>
      <c r="B37" s="6" t="s">
        <v>382</v>
      </c>
    </row>
    <row r="38" spans="1:2" x14ac:dyDescent="0.35">
      <c r="A38" s="6">
        <v>37</v>
      </c>
      <c r="B38" s="6" t="s">
        <v>89</v>
      </c>
    </row>
    <row r="39" spans="1:2" x14ac:dyDescent="0.35">
      <c r="A39" s="6">
        <v>38</v>
      </c>
      <c r="B39" s="6" t="s">
        <v>406</v>
      </c>
    </row>
    <row r="40" spans="1:2" x14ac:dyDescent="0.35">
      <c r="A40" s="6">
        <v>39</v>
      </c>
      <c r="B40" s="6" t="s">
        <v>402</v>
      </c>
    </row>
    <row r="41" spans="1:2" x14ac:dyDescent="0.35">
      <c r="A41" s="6">
        <v>40</v>
      </c>
      <c r="B41" s="6" t="s">
        <v>83</v>
      </c>
    </row>
    <row r="42" spans="1:2" x14ac:dyDescent="0.35">
      <c r="A42" s="6">
        <v>41</v>
      </c>
      <c r="B42" s="6" t="s">
        <v>383</v>
      </c>
    </row>
    <row r="43" spans="1:2" x14ac:dyDescent="0.35">
      <c r="A43" s="6">
        <v>42</v>
      </c>
      <c r="B43" s="6" t="s">
        <v>384</v>
      </c>
    </row>
    <row r="44" spans="1:2" x14ac:dyDescent="0.35">
      <c r="A44" s="6">
        <v>43</v>
      </c>
      <c r="B44" s="6" t="s">
        <v>404</v>
      </c>
    </row>
    <row r="45" spans="1:2" x14ac:dyDescent="0.35">
      <c r="A45" s="6">
        <v>44</v>
      </c>
      <c r="B45" s="6" t="s">
        <v>407</v>
      </c>
    </row>
    <row r="46" spans="1:2" x14ac:dyDescent="0.35">
      <c r="A46" s="6">
        <v>45</v>
      </c>
      <c r="B46" s="6" t="s">
        <v>408</v>
      </c>
    </row>
    <row r="47" spans="1:2" x14ac:dyDescent="0.35">
      <c r="A47" s="6">
        <v>46</v>
      </c>
      <c r="B47" s="6" t="s">
        <v>385</v>
      </c>
    </row>
    <row r="48" spans="1:2" x14ac:dyDescent="0.35">
      <c r="A48" s="6">
        <v>47</v>
      </c>
      <c r="B48" s="6" t="s">
        <v>409</v>
      </c>
    </row>
    <row r="49" spans="1:2" x14ac:dyDescent="0.35">
      <c r="A49" s="6">
        <v>48</v>
      </c>
      <c r="B49" s="6" t="s">
        <v>410</v>
      </c>
    </row>
    <row r="50" spans="1:2" x14ac:dyDescent="0.35">
      <c r="A50" s="6">
        <v>49</v>
      </c>
      <c r="B50" s="6" t="s">
        <v>411</v>
      </c>
    </row>
    <row r="51" spans="1:2" x14ac:dyDescent="0.35">
      <c r="A51" s="6">
        <v>50</v>
      </c>
      <c r="B51" s="6" t="s">
        <v>412</v>
      </c>
    </row>
    <row r="52" spans="1:2" x14ac:dyDescent="0.35">
      <c r="A52" s="6">
        <v>51</v>
      </c>
      <c r="B52" s="6" t="s">
        <v>413</v>
      </c>
    </row>
    <row r="53" spans="1:2" x14ac:dyDescent="0.35">
      <c r="A53" s="6">
        <v>52</v>
      </c>
      <c r="B53" s="6" t="s">
        <v>414</v>
      </c>
    </row>
    <row r="54" spans="1:2" x14ac:dyDescent="0.35">
      <c r="A54" s="6">
        <v>53</v>
      </c>
      <c r="B54" s="6" t="s">
        <v>415</v>
      </c>
    </row>
    <row r="55" spans="1:2" x14ac:dyDescent="0.35">
      <c r="A55" s="6">
        <v>54</v>
      </c>
      <c r="B55" s="6" t="s">
        <v>416</v>
      </c>
    </row>
    <row r="56" spans="1:2" x14ac:dyDescent="0.35">
      <c r="A56" s="6">
        <v>55</v>
      </c>
      <c r="B56" s="6" t="s">
        <v>417</v>
      </c>
    </row>
    <row r="57" spans="1:2" x14ac:dyDescent="0.35">
      <c r="A57" s="6">
        <v>56</v>
      </c>
      <c r="B57" s="6" t="s">
        <v>418</v>
      </c>
    </row>
    <row r="58" spans="1:2" x14ac:dyDescent="0.35">
      <c r="A58" s="6">
        <v>57</v>
      </c>
      <c r="B58" s="6" t="s">
        <v>419</v>
      </c>
    </row>
    <row r="59" spans="1:2" x14ac:dyDescent="0.35">
      <c r="A59" s="6">
        <v>58</v>
      </c>
      <c r="B59" s="6" t="s">
        <v>420</v>
      </c>
    </row>
    <row r="60" spans="1:2" x14ac:dyDescent="0.35">
      <c r="A60" s="6">
        <v>59</v>
      </c>
      <c r="B60" s="6" t="s">
        <v>421</v>
      </c>
    </row>
    <row r="61" spans="1:2" x14ac:dyDescent="0.35">
      <c r="A61" s="6">
        <v>60</v>
      </c>
      <c r="B61" s="6" t="s">
        <v>422</v>
      </c>
    </row>
    <row r="62" spans="1:2" x14ac:dyDescent="0.35">
      <c r="A62" s="6">
        <v>61</v>
      </c>
      <c r="B62" s="6" t="s">
        <v>423</v>
      </c>
    </row>
    <row r="63" spans="1:2" x14ac:dyDescent="0.35">
      <c r="B63" s="7"/>
    </row>
    <row r="64" spans="1:2" x14ac:dyDescent="0.35">
      <c r="B64" s="7"/>
    </row>
    <row r="65" spans="2:2" x14ac:dyDescent="0.35">
      <c r="B65" s="7"/>
    </row>
    <row r="66" spans="2:2" x14ac:dyDescent="0.35">
      <c r="B66" s="7"/>
    </row>
    <row r="67" spans="2:2" x14ac:dyDescent="0.35">
      <c r="B67" s="7"/>
    </row>
    <row r="68" spans="2:2" x14ac:dyDescent="0.35">
      <c r="B68" s="7"/>
    </row>
    <row r="69" spans="2:2" x14ac:dyDescent="0.35">
      <c r="B69" s="7"/>
    </row>
    <row r="70" spans="2:2" x14ac:dyDescent="0.35">
      <c r="B70" s="7"/>
    </row>
    <row r="71" spans="2:2" x14ac:dyDescent="0.35">
      <c r="B71" s="7"/>
    </row>
    <row r="72" spans="2:2" x14ac:dyDescent="0.35">
      <c r="B72" s="7"/>
    </row>
    <row r="73" spans="2:2" x14ac:dyDescent="0.35">
      <c r="B73" s="7"/>
    </row>
    <row r="74" spans="2:2" x14ac:dyDescent="0.35">
      <c r="B74" s="7"/>
    </row>
    <row r="75" spans="2:2" x14ac:dyDescent="0.35">
      <c r="B75" s="7"/>
    </row>
    <row r="76" spans="2:2" x14ac:dyDescent="0.35">
      <c r="B76" s="7"/>
    </row>
    <row r="77" spans="2:2" x14ac:dyDescent="0.35">
      <c r="B77" s="7"/>
    </row>
    <row r="78" spans="2:2" x14ac:dyDescent="0.35">
      <c r="B78" s="7"/>
    </row>
    <row r="79" spans="2:2" x14ac:dyDescent="0.35">
      <c r="B79" s="7"/>
    </row>
    <row r="80" spans="2:2" x14ac:dyDescent="0.35">
      <c r="B80" s="7"/>
    </row>
    <row r="81" spans="2:2" x14ac:dyDescent="0.35">
      <c r="B81" s="7"/>
    </row>
    <row r="82" spans="2:2" x14ac:dyDescent="0.35">
      <c r="B82" s="7"/>
    </row>
    <row r="83" spans="2:2" x14ac:dyDescent="0.35">
      <c r="B83" s="7"/>
    </row>
    <row r="84" spans="2:2" x14ac:dyDescent="0.35">
      <c r="B84" s="7"/>
    </row>
    <row r="85" spans="2:2" x14ac:dyDescent="0.35">
      <c r="B85" s="7"/>
    </row>
    <row r="86" spans="2:2" x14ac:dyDescent="0.35">
      <c r="B86" s="7"/>
    </row>
    <row r="87" spans="2:2" x14ac:dyDescent="0.35">
      <c r="B87" s="7"/>
    </row>
    <row r="88" spans="2:2" x14ac:dyDescent="0.35">
      <c r="B88" s="7"/>
    </row>
    <row r="89" spans="2:2" x14ac:dyDescent="0.35">
      <c r="B89" s="7"/>
    </row>
    <row r="90" spans="2:2" x14ac:dyDescent="0.35">
      <c r="B90" s="7"/>
    </row>
    <row r="91" spans="2:2" x14ac:dyDescent="0.35">
      <c r="B91" s="7"/>
    </row>
    <row r="92" spans="2:2" x14ac:dyDescent="0.35">
      <c r="B92" s="7"/>
    </row>
    <row r="93" spans="2:2" x14ac:dyDescent="0.35">
      <c r="B93" s="7"/>
    </row>
    <row r="94" spans="2:2" x14ac:dyDescent="0.35">
      <c r="B94" s="7"/>
    </row>
    <row r="95" spans="2:2" x14ac:dyDescent="0.35">
      <c r="B95" s="7"/>
    </row>
    <row r="96" spans="2:2" x14ac:dyDescent="0.35">
      <c r="B96" s="7"/>
    </row>
    <row r="97" spans="2:2" x14ac:dyDescent="0.35">
      <c r="B97" s="7"/>
    </row>
    <row r="98" spans="2:2" x14ac:dyDescent="0.35">
      <c r="B98" s="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85027-B525-4A19-A585-ADCC909E70DE}">
  <dimension ref="A1:D70"/>
  <sheetViews>
    <sheetView workbookViewId="0">
      <selection activeCell="B2" sqref="B2"/>
    </sheetView>
  </sheetViews>
  <sheetFormatPr defaultColWidth="9.1796875" defaultRowHeight="14.5" x14ac:dyDescent="0.35"/>
  <cols>
    <col min="1" max="1" width="29.453125" bestFit="1" customWidth="1"/>
    <col min="2" max="2" width="12.453125" bestFit="1" customWidth="1"/>
    <col min="3" max="3" width="18.1796875" bestFit="1" customWidth="1"/>
  </cols>
  <sheetData>
    <row r="1" spans="1:4" x14ac:dyDescent="0.35">
      <c r="A1" s="1" t="s">
        <v>4</v>
      </c>
      <c r="B1" t="s">
        <v>507</v>
      </c>
      <c r="C1" t="s">
        <v>508</v>
      </c>
      <c r="D1" t="s">
        <v>509</v>
      </c>
    </row>
    <row r="2" spans="1:4" x14ac:dyDescent="0.35">
      <c r="A2" t="s">
        <v>360</v>
      </c>
      <c r="B2" s="8">
        <v>61.5</v>
      </c>
      <c r="C2" s="9">
        <v>0.73799999999999999</v>
      </c>
      <c r="D2" s="8">
        <v>0.26200000000000001</v>
      </c>
    </row>
    <row r="3" spans="1:4" x14ac:dyDescent="0.35">
      <c r="A3" t="s">
        <v>81</v>
      </c>
      <c r="B3" s="8">
        <v>57</v>
      </c>
      <c r="C3" s="8">
        <v>0</v>
      </c>
      <c r="D3" s="8">
        <v>1</v>
      </c>
    </row>
    <row r="4" spans="1:4" x14ac:dyDescent="0.35">
      <c r="A4" t="s">
        <v>82</v>
      </c>
      <c r="B4" s="8">
        <v>80</v>
      </c>
      <c r="C4" s="8">
        <v>1</v>
      </c>
      <c r="D4" s="8">
        <v>0</v>
      </c>
    </row>
    <row r="5" spans="1:4" x14ac:dyDescent="0.35">
      <c r="A5" t="s">
        <v>83</v>
      </c>
      <c r="B5" s="8">
        <v>61</v>
      </c>
      <c r="C5" s="8">
        <v>0</v>
      </c>
      <c r="D5" s="8">
        <v>1</v>
      </c>
    </row>
    <row r="6" spans="1:4" x14ac:dyDescent="0.35">
      <c r="A6" t="s">
        <v>363</v>
      </c>
      <c r="B6" s="8">
        <v>73</v>
      </c>
      <c r="C6" s="8">
        <v>0.75</v>
      </c>
      <c r="D6" s="8">
        <v>0.25</v>
      </c>
    </row>
    <row r="7" spans="1:4" x14ac:dyDescent="0.35">
      <c r="A7" t="s">
        <v>511</v>
      </c>
      <c r="B7" s="8">
        <v>62.56</v>
      </c>
      <c r="C7" s="8">
        <v>0.43469999999999998</v>
      </c>
      <c r="D7" s="8">
        <f>100%-C7</f>
        <v>0.56530000000000002</v>
      </c>
    </row>
    <row r="8" spans="1:4" x14ac:dyDescent="0.35">
      <c r="A8" t="s">
        <v>85</v>
      </c>
      <c r="B8" s="8">
        <v>60</v>
      </c>
      <c r="C8" s="8">
        <v>0</v>
      </c>
      <c r="D8" s="8">
        <v>1</v>
      </c>
    </row>
    <row r="9" spans="1:4" x14ac:dyDescent="0.35">
      <c r="A9" t="s">
        <v>361</v>
      </c>
      <c r="B9" s="8">
        <v>75</v>
      </c>
      <c r="C9" s="8">
        <v>1</v>
      </c>
      <c r="D9" s="8">
        <v>0</v>
      </c>
    </row>
    <row r="10" spans="1:4" x14ac:dyDescent="0.35">
      <c r="A10" t="s">
        <v>424</v>
      </c>
      <c r="B10" s="8">
        <v>51.75</v>
      </c>
      <c r="C10" s="8">
        <v>0.2727</v>
      </c>
      <c r="D10" s="8">
        <f>100%-C10</f>
        <v>0.72730000000000006</v>
      </c>
    </row>
    <row r="11" spans="1:4" x14ac:dyDescent="0.35">
      <c r="A11" t="s">
        <v>86</v>
      </c>
      <c r="B11" s="8">
        <v>62</v>
      </c>
      <c r="C11" s="8">
        <v>0</v>
      </c>
      <c r="D11" s="8">
        <v>1</v>
      </c>
    </row>
    <row r="12" spans="1:4" x14ac:dyDescent="0.35">
      <c r="A12" t="s">
        <v>86</v>
      </c>
      <c r="B12" s="8">
        <v>62</v>
      </c>
      <c r="C12" s="8">
        <v>0</v>
      </c>
      <c r="D12" s="8">
        <v>1</v>
      </c>
    </row>
    <row r="13" spans="1:4" x14ac:dyDescent="0.35">
      <c r="A13" t="s">
        <v>86</v>
      </c>
      <c r="B13" s="8">
        <v>62</v>
      </c>
      <c r="C13" s="8">
        <v>0</v>
      </c>
      <c r="D13" s="8">
        <v>1</v>
      </c>
    </row>
    <row r="14" spans="1:4" x14ac:dyDescent="0.35">
      <c r="A14" t="s">
        <v>362</v>
      </c>
      <c r="B14" s="8">
        <v>76.5</v>
      </c>
      <c r="C14" s="8">
        <v>1</v>
      </c>
      <c r="D14" s="8">
        <v>0</v>
      </c>
    </row>
    <row r="15" spans="1:4" x14ac:dyDescent="0.35">
      <c r="A15" t="s">
        <v>85</v>
      </c>
      <c r="B15" s="8">
        <v>60</v>
      </c>
      <c r="C15" s="8">
        <v>0</v>
      </c>
      <c r="D15" s="8">
        <v>1</v>
      </c>
    </row>
    <row r="16" spans="1:4" x14ac:dyDescent="0.35">
      <c r="A16" t="s">
        <v>85</v>
      </c>
      <c r="B16" s="8">
        <v>60</v>
      </c>
      <c r="C16" s="8">
        <v>0</v>
      </c>
      <c r="D16" s="8">
        <v>1</v>
      </c>
    </row>
    <row r="17" spans="1:4" x14ac:dyDescent="0.35">
      <c r="A17" t="s">
        <v>85</v>
      </c>
      <c r="B17" s="8">
        <v>60</v>
      </c>
      <c r="C17" s="8">
        <v>0</v>
      </c>
      <c r="D17" s="8">
        <v>1</v>
      </c>
    </row>
    <row r="18" spans="1:4" x14ac:dyDescent="0.35">
      <c r="A18" t="s">
        <v>87</v>
      </c>
      <c r="B18" s="8">
        <v>47</v>
      </c>
      <c r="C18" s="8">
        <v>0</v>
      </c>
      <c r="D18" s="8">
        <v>1</v>
      </c>
    </row>
    <row r="19" spans="1:4" x14ac:dyDescent="0.35">
      <c r="A19" t="s">
        <v>87</v>
      </c>
      <c r="B19" s="8">
        <v>47</v>
      </c>
      <c r="C19" s="8">
        <v>0</v>
      </c>
      <c r="D19" s="8">
        <v>1</v>
      </c>
    </row>
    <row r="20" spans="1:4" x14ac:dyDescent="0.35">
      <c r="A20" t="s">
        <v>88</v>
      </c>
      <c r="B20" s="8">
        <v>70</v>
      </c>
      <c r="C20" s="8">
        <v>1</v>
      </c>
      <c r="D20" s="8">
        <v>0</v>
      </c>
    </row>
    <row r="21" spans="1:4" x14ac:dyDescent="0.35">
      <c r="A21" t="s">
        <v>86</v>
      </c>
      <c r="B21" s="8">
        <v>62</v>
      </c>
      <c r="C21" s="8">
        <v>0</v>
      </c>
      <c r="D21" s="8">
        <v>1</v>
      </c>
    </row>
    <row r="22" spans="1:4" x14ac:dyDescent="0.35">
      <c r="A22" t="s">
        <v>86</v>
      </c>
      <c r="B22" s="8">
        <v>62</v>
      </c>
      <c r="C22" s="8">
        <v>0</v>
      </c>
      <c r="D22" s="8">
        <v>1</v>
      </c>
    </row>
    <row r="23" spans="1:4" x14ac:dyDescent="0.35">
      <c r="A23" t="s">
        <v>86</v>
      </c>
      <c r="B23" s="8">
        <v>62</v>
      </c>
      <c r="C23" s="8">
        <v>0</v>
      </c>
      <c r="D23" s="8">
        <v>1</v>
      </c>
    </row>
    <row r="24" spans="1:4" x14ac:dyDescent="0.35">
      <c r="A24" t="s">
        <v>86</v>
      </c>
      <c r="B24" s="8">
        <v>62</v>
      </c>
      <c r="C24" s="8">
        <v>0</v>
      </c>
      <c r="D24" s="8">
        <v>1</v>
      </c>
    </row>
    <row r="25" spans="1:4" x14ac:dyDescent="0.35">
      <c r="A25" t="s">
        <v>86</v>
      </c>
      <c r="B25" s="8">
        <v>62</v>
      </c>
      <c r="C25" s="8">
        <v>0</v>
      </c>
      <c r="D25" s="8">
        <v>1</v>
      </c>
    </row>
    <row r="26" spans="1:4" x14ac:dyDescent="0.35">
      <c r="A26" t="s">
        <v>89</v>
      </c>
      <c r="B26" s="8">
        <v>45</v>
      </c>
      <c r="C26" s="8">
        <v>0</v>
      </c>
      <c r="D26" s="8">
        <v>1</v>
      </c>
    </row>
    <row r="27" spans="1:4" x14ac:dyDescent="0.35">
      <c r="A27" t="s">
        <v>87</v>
      </c>
      <c r="B27" s="8">
        <v>47</v>
      </c>
      <c r="C27" s="8">
        <v>0</v>
      </c>
      <c r="D27" s="8">
        <v>1</v>
      </c>
    </row>
    <row r="28" spans="1:4" x14ac:dyDescent="0.35">
      <c r="A28" t="s">
        <v>87</v>
      </c>
      <c r="B28" s="8">
        <v>47</v>
      </c>
      <c r="C28" s="8">
        <v>0</v>
      </c>
      <c r="D28" s="8">
        <v>1</v>
      </c>
    </row>
    <row r="29" spans="1:4" x14ac:dyDescent="0.35">
      <c r="A29" t="s">
        <v>90</v>
      </c>
      <c r="B29" s="8">
        <v>37</v>
      </c>
      <c r="C29" s="8">
        <v>0</v>
      </c>
      <c r="D29" s="8">
        <v>1</v>
      </c>
    </row>
    <row r="30" spans="1:4" x14ac:dyDescent="0.35">
      <c r="A30" t="s">
        <v>90</v>
      </c>
      <c r="B30" s="8">
        <v>37</v>
      </c>
      <c r="C30" s="8">
        <v>0</v>
      </c>
      <c r="D30" s="8">
        <v>1</v>
      </c>
    </row>
    <row r="31" spans="1:4" x14ac:dyDescent="0.35">
      <c r="A31" t="s">
        <v>364</v>
      </c>
      <c r="B31" s="8">
        <v>60.855820895522385</v>
      </c>
      <c r="C31" s="8">
        <v>0.23472537313432834</v>
      </c>
      <c r="D31" s="8">
        <v>0.76527462686567171</v>
      </c>
    </row>
    <row r="32" spans="1:4" x14ac:dyDescent="0.35">
      <c r="A32" t="s">
        <v>364</v>
      </c>
      <c r="B32" s="8">
        <v>60.855820895522385</v>
      </c>
      <c r="C32" s="8">
        <v>0.23472537313432834</v>
      </c>
      <c r="D32" s="8">
        <v>0.76527462686567171</v>
      </c>
    </row>
    <row r="33" spans="1:4" x14ac:dyDescent="0.35">
      <c r="A33" t="s">
        <v>91</v>
      </c>
      <c r="B33" s="8">
        <v>72.5</v>
      </c>
      <c r="C33" s="8">
        <v>1</v>
      </c>
      <c r="D33" s="8">
        <v>0</v>
      </c>
    </row>
    <row r="34" spans="1:4" x14ac:dyDescent="0.35">
      <c r="A34" t="s">
        <v>91</v>
      </c>
      <c r="B34" s="8">
        <v>72.5</v>
      </c>
      <c r="C34" s="8">
        <v>1</v>
      </c>
      <c r="D34" s="8">
        <v>0</v>
      </c>
    </row>
    <row r="35" spans="1:4" x14ac:dyDescent="0.35">
      <c r="A35" t="s">
        <v>91</v>
      </c>
      <c r="B35" s="8">
        <v>72.5</v>
      </c>
      <c r="C35" s="8">
        <v>1</v>
      </c>
      <c r="D35" s="8">
        <v>0</v>
      </c>
    </row>
    <row r="36" spans="1:4" x14ac:dyDescent="0.35">
      <c r="A36" t="s">
        <v>92</v>
      </c>
      <c r="B36" s="8">
        <v>77.3</v>
      </c>
      <c r="C36" s="8">
        <v>1</v>
      </c>
      <c r="D36" s="8">
        <v>0</v>
      </c>
    </row>
    <row r="37" spans="1:4" x14ac:dyDescent="0.35">
      <c r="A37" t="s">
        <v>92</v>
      </c>
      <c r="B37" s="8">
        <v>77.3</v>
      </c>
      <c r="C37" s="8">
        <v>1</v>
      </c>
      <c r="D37" s="8">
        <v>0</v>
      </c>
    </row>
    <row r="38" spans="1:4" x14ac:dyDescent="0.35">
      <c r="A38" t="s">
        <v>86</v>
      </c>
      <c r="B38" s="8">
        <v>62</v>
      </c>
      <c r="C38" s="8">
        <v>0</v>
      </c>
      <c r="D38" s="8">
        <v>1</v>
      </c>
    </row>
    <row r="39" spans="1:4" x14ac:dyDescent="0.35">
      <c r="A39" t="s">
        <v>83</v>
      </c>
      <c r="B39" s="8">
        <v>61</v>
      </c>
      <c r="C39" s="8">
        <v>0</v>
      </c>
      <c r="D39" s="8">
        <v>1</v>
      </c>
    </row>
    <row r="40" spans="1:4" x14ac:dyDescent="0.35">
      <c r="A40" t="s">
        <v>83</v>
      </c>
      <c r="B40" s="8">
        <v>61</v>
      </c>
      <c r="C40" s="8">
        <v>0</v>
      </c>
      <c r="D40" s="8">
        <v>1</v>
      </c>
    </row>
    <row r="41" spans="1:4" x14ac:dyDescent="0.35">
      <c r="A41" t="s">
        <v>83</v>
      </c>
      <c r="B41" s="8">
        <v>61</v>
      </c>
      <c r="C41" s="8">
        <v>0</v>
      </c>
      <c r="D41" s="8">
        <v>1</v>
      </c>
    </row>
    <row r="42" spans="1:4" x14ac:dyDescent="0.35">
      <c r="A42" t="s">
        <v>93</v>
      </c>
      <c r="B42" s="8">
        <v>76</v>
      </c>
      <c r="C42" s="8">
        <v>1</v>
      </c>
      <c r="D42" s="8">
        <v>0</v>
      </c>
    </row>
    <row r="43" spans="1:4" x14ac:dyDescent="0.35">
      <c r="A43" t="s">
        <v>86</v>
      </c>
      <c r="B43" s="8">
        <v>62</v>
      </c>
      <c r="C43" s="8">
        <v>0</v>
      </c>
      <c r="D43" s="8">
        <v>1</v>
      </c>
    </row>
    <row r="44" spans="1:4" x14ac:dyDescent="0.35">
      <c r="A44" t="s">
        <v>86</v>
      </c>
      <c r="B44" s="8">
        <v>62</v>
      </c>
      <c r="C44" s="8">
        <v>0</v>
      </c>
      <c r="D44" s="8">
        <v>1</v>
      </c>
    </row>
    <row r="45" spans="1:4" x14ac:dyDescent="0.35">
      <c r="A45" t="s">
        <v>86</v>
      </c>
      <c r="B45" s="8">
        <v>62</v>
      </c>
      <c r="C45" s="8">
        <v>0</v>
      </c>
      <c r="D45" s="8">
        <v>1</v>
      </c>
    </row>
    <row r="46" spans="1:4" x14ac:dyDescent="0.35">
      <c r="A46" t="s">
        <v>86</v>
      </c>
      <c r="B46" s="8">
        <v>62</v>
      </c>
      <c r="C46" s="8">
        <v>0</v>
      </c>
      <c r="D46" s="8">
        <v>1</v>
      </c>
    </row>
    <row r="47" spans="1:4" x14ac:dyDescent="0.35">
      <c r="A47" t="s">
        <v>86</v>
      </c>
      <c r="B47" s="8">
        <v>62</v>
      </c>
      <c r="C47" s="8">
        <v>0</v>
      </c>
      <c r="D47" s="8">
        <v>1</v>
      </c>
    </row>
    <row r="48" spans="1:4" x14ac:dyDescent="0.35">
      <c r="A48" t="s">
        <v>86</v>
      </c>
      <c r="B48" s="8">
        <v>62</v>
      </c>
      <c r="C48" s="8">
        <v>0</v>
      </c>
      <c r="D48" s="8">
        <v>1</v>
      </c>
    </row>
    <row r="49" spans="1:4" x14ac:dyDescent="0.35">
      <c r="A49" t="s">
        <v>86</v>
      </c>
      <c r="B49" s="8">
        <v>62</v>
      </c>
      <c r="C49" s="8">
        <v>0</v>
      </c>
      <c r="D49" s="8">
        <v>1</v>
      </c>
    </row>
    <row r="50" spans="1:4" x14ac:dyDescent="0.35">
      <c r="A50" t="s">
        <v>90</v>
      </c>
      <c r="B50" s="8">
        <v>37</v>
      </c>
      <c r="C50" s="8">
        <v>0</v>
      </c>
      <c r="D50" s="8">
        <v>1</v>
      </c>
    </row>
    <row r="51" spans="1:4" x14ac:dyDescent="0.35">
      <c r="A51" t="s">
        <v>90</v>
      </c>
      <c r="B51" s="8">
        <v>37</v>
      </c>
      <c r="C51" s="8">
        <v>0</v>
      </c>
      <c r="D51" s="8">
        <v>1</v>
      </c>
    </row>
    <row r="52" spans="1:4" x14ac:dyDescent="0.35">
      <c r="A52" t="s">
        <v>510</v>
      </c>
      <c r="B52" s="8">
        <v>42.5</v>
      </c>
      <c r="C52" s="8">
        <v>0</v>
      </c>
      <c r="D52" s="8">
        <v>1</v>
      </c>
    </row>
    <row r="53" spans="1:4" x14ac:dyDescent="0.35">
      <c r="A53" t="s">
        <v>510</v>
      </c>
      <c r="B53" s="8">
        <v>42.5</v>
      </c>
      <c r="C53" s="8">
        <v>0</v>
      </c>
      <c r="D53" s="8">
        <v>1</v>
      </c>
    </row>
    <row r="54" spans="1:4" x14ac:dyDescent="0.35">
      <c r="A54" t="s">
        <v>91</v>
      </c>
      <c r="B54" s="8">
        <v>72.5</v>
      </c>
      <c r="C54" s="8">
        <v>1</v>
      </c>
      <c r="D54" s="8">
        <v>0</v>
      </c>
    </row>
    <row r="55" spans="1:4" x14ac:dyDescent="0.35">
      <c r="A55" t="s">
        <v>91</v>
      </c>
      <c r="B55" s="8">
        <v>72.5</v>
      </c>
      <c r="C55" s="8">
        <v>1</v>
      </c>
      <c r="D55" s="8">
        <v>0</v>
      </c>
    </row>
    <row r="56" spans="1:4" x14ac:dyDescent="0.35">
      <c r="A56" t="s">
        <v>86</v>
      </c>
      <c r="B56" s="8">
        <v>62</v>
      </c>
      <c r="C56" s="8">
        <v>0</v>
      </c>
      <c r="D56" s="8">
        <v>1</v>
      </c>
    </row>
    <row r="57" spans="1:4" x14ac:dyDescent="0.35">
      <c r="A57" t="s">
        <v>94</v>
      </c>
      <c r="B57" s="8">
        <v>71</v>
      </c>
      <c r="C57" s="8">
        <v>1</v>
      </c>
      <c r="D57" s="8">
        <v>0</v>
      </c>
    </row>
    <row r="58" spans="1:4" x14ac:dyDescent="0.35">
      <c r="A58" t="s">
        <v>86</v>
      </c>
      <c r="B58" s="8">
        <v>62</v>
      </c>
      <c r="C58" s="8">
        <v>0</v>
      </c>
      <c r="D58" s="8">
        <v>1</v>
      </c>
    </row>
    <row r="59" spans="1:4" x14ac:dyDescent="0.35">
      <c r="A59" t="s">
        <v>86</v>
      </c>
      <c r="B59" s="8">
        <v>62</v>
      </c>
      <c r="C59" s="8">
        <v>0</v>
      </c>
      <c r="D59" s="8">
        <v>1</v>
      </c>
    </row>
    <row r="60" spans="1:4" x14ac:dyDescent="0.35">
      <c r="A60" t="s">
        <v>86</v>
      </c>
      <c r="B60" s="8">
        <v>62</v>
      </c>
      <c r="C60" s="8">
        <v>0</v>
      </c>
      <c r="D60" s="8">
        <v>1</v>
      </c>
    </row>
    <row r="61" spans="1:4" x14ac:dyDescent="0.35">
      <c r="A61" t="s">
        <v>389</v>
      </c>
      <c r="B61" s="8">
        <v>63.93</v>
      </c>
      <c r="C61" s="8">
        <v>0.53120000000000001</v>
      </c>
      <c r="D61" s="8">
        <f>100%-C61</f>
        <v>0.46879999999999999</v>
      </c>
    </row>
    <row r="62" spans="1:4" x14ac:dyDescent="0.35">
      <c r="A62" t="s">
        <v>83</v>
      </c>
      <c r="B62" s="8">
        <v>61</v>
      </c>
      <c r="C62" s="8">
        <v>0</v>
      </c>
      <c r="D62" s="8">
        <v>1</v>
      </c>
    </row>
    <row r="63" spans="1:4" x14ac:dyDescent="0.35">
      <c r="A63" t="s">
        <v>83</v>
      </c>
      <c r="B63" s="8">
        <v>61</v>
      </c>
      <c r="C63" s="8">
        <v>0</v>
      </c>
      <c r="D63" s="8">
        <v>1</v>
      </c>
    </row>
    <row r="64" spans="1:4" x14ac:dyDescent="0.35">
      <c r="A64" t="s">
        <v>83</v>
      </c>
      <c r="B64" s="8">
        <v>61</v>
      </c>
      <c r="C64" s="8">
        <v>0</v>
      </c>
      <c r="D64" s="8">
        <v>1</v>
      </c>
    </row>
    <row r="65" spans="1:4" x14ac:dyDescent="0.35">
      <c r="A65" t="s">
        <v>83</v>
      </c>
      <c r="B65" s="8">
        <v>61</v>
      </c>
      <c r="C65" s="8">
        <v>0</v>
      </c>
      <c r="D65" s="8">
        <v>1</v>
      </c>
    </row>
    <row r="66" spans="1:4" x14ac:dyDescent="0.35">
      <c r="A66" t="s">
        <v>83</v>
      </c>
      <c r="B66" s="8">
        <v>61</v>
      </c>
      <c r="C66" s="8">
        <v>0</v>
      </c>
      <c r="D66" s="8">
        <v>1</v>
      </c>
    </row>
    <row r="67" spans="1:4" x14ac:dyDescent="0.35">
      <c r="A67" t="s">
        <v>83</v>
      </c>
      <c r="B67" s="8">
        <v>61</v>
      </c>
      <c r="C67" s="8">
        <v>0</v>
      </c>
      <c r="D67" s="8">
        <v>1</v>
      </c>
    </row>
    <row r="68" spans="1:4" x14ac:dyDescent="0.35">
      <c r="A68" t="s">
        <v>86</v>
      </c>
      <c r="B68" s="8">
        <v>62</v>
      </c>
      <c r="C68" s="8">
        <v>0</v>
      </c>
      <c r="D68" s="8">
        <v>1</v>
      </c>
    </row>
    <row r="69" spans="1:4" x14ac:dyDescent="0.35">
      <c r="A69" t="s">
        <v>86</v>
      </c>
      <c r="B69" s="8">
        <v>62</v>
      </c>
      <c r="C69" s="8">
        <v>0</v>
      </c>
      <c r="D69" s="8">
        <v>1</v>
      </c>
    </row>
    <row r="70" spans="1:4" x14ac:dyDescent="0.35">
      <c r="A70" t="s">
        <v>86</v>
      </c>
      <c r="B70" s="8">
        <v>62</v>
      </c>
      <c r="C70" s="8">
        <v>0</v>
      </c>
      <c r="D70" s="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92BF-790F-428D-A49C-F8714EC89844}">
  <dimension ref="A1:H79"/>
  <sheetViews>
    <sheetView workbookViewId="0">
      <selection activeCell="B70" sqref="B70"/>
    </sheetView>
  </sheetViews>
  <sheetFormatPr defaultColWidth="9.1796875" defaultRowHeight="14.5" x14ac:dyDescent="0.35"/>
  <cols>
    <col min="1" max="1" width="19.1796875" bestFit="1" customWidth="1"/>
    <col min="2" max="2" width="8.7265625" style="5"/>
    <col min="3" max="3" width="11.81640625" style="5" bestFit="1" customWidth="1"/>
    <col min="4" max="5" width="8.7265625" style="5"/>
  </cols>
  <sheetData>
    <row r="1" spans="1:8" x14ac:dyDescent="0.35">
      <c r="A1" t="s">
        <v>366</v>
      </c>
      <c r="B1" s="5" t="s">
        <v>444</v>
      </c>
      <c r="C1" s="5" t="s">
        <v>445</v>
      </c>
      <c r="D1" s="5" t="s">
        <v>446</v>
      </c>
      <c r="E1" s="5" t="s">
        <v>447</v>
      </c>
    </row>
    <row r="2" spans="1:8" x14ac:dyDescent="0.35">
      <c r="A2" t="s">
        <v>495</v>
      </c>
      <c r="B2" s="5">
        <v>32</v>
      </c>
      <c r="C2" s="5">
        <v>0</v>
      </c>
      <c r="D2" s="5">
        <v>0</v>
      </c>
      <c r="E2" s="5">
        <v>1</v>
      </c>
    </row>
    <row r="3" spans="1:8" x14ac:dyDescent="0.35">
      <c r="A3" t="s">
        <v>477</v>
      </c>
      <c r="B3" s="5">
        <v>45</v>
      </c>
      <c r="C3" s="5">
        <v>0</v>
      </c>
      <c r="D3" s="5">
        <v>1</v>
      </c>
      <c r="E3" s="5">
        <v>0</v>
      </c>
    </row>
    <row r="4" spans="1:8" x14ac:dyDescent="0.35">
      <c r="A4" t="s">
        <v>434</v>
      </c>
      <c r="B4" s="5">
        <v>72</v>
      </c>
      <c r="C4" s="5">
        <v>1</v>
      </c>
      <c r="D4" s="5">
        <v>0</v>
      </c>
      <c r="E4" s="5">
        <v>0</v>
      </c>
      <c r="H4">
        <f>AVERAGE(0, 0, 1, 1, 0, 0, 0, 1, 0, 0, 0, 0, 1, 0, 0, 0, 0, 0, 1, 0, 0, 0, 0, 1, 1, 1, 0, 0, 0, 0, 0,
                     1, 0, 1, 0, 0, 0, 0, 1, 0, 0, 0, 0, 1, 1, 0, 1, 0, 0, 0, 0, 0, 0, 0, 0, 0, 1, 0, 0, 0, 1, 0, 1,
                     0, 0, 0, 0, 0, 0, 0, 1, 1, 1, 0, 0, 0, 1)</f>
        <v>0.27272727272727271</v>
      </c>
    </row>
    <row r="5" spans="1:8" x14ac:dyDescent="0.35">
      <c r="A5" t="s">
        <v>443</v>
      </c>
      <c r="B5" s="5">
        <v>66</v>
      </c>
      <c r="C5" s="5">
        <v>1</v>
      </c>
      <c r="D5" s="5">
        <v>0</v>
      </c>
      <c r="E5" s="5">
        <v>0</v>
      </c>
    </row>
    <row r="6" spans="1:8" x14ac:dyDescent="0.35">
      <c r="A6" t="s">
        <v>462</v>
      </c>
      <c r="B6" s="5">
        <v>51</v>
      </c>
      <c r="C6" s="5">
        <v>0</v>
      </c>
      <c r="D6" s="5">
        <v>1</v>
      </c>
      <c r="E6" s="5">
        <v>0</v>
      </c>
      <c r="H6">
        <f>AVERAGE(32, 45, 72, 66, 51, 30, 46, 66, 32, 31, 47, 52, 70, 54, 62, 42, 51, 57, 77, 38, 36, 61, 23, 76, 70,
              70, 30, 52, 54, 37, 39, 69, 60, 75, 35, 47, 31, 46, 70, 53, 43, 38, 28, 75, 72, 27, 73, 48, 28, 37,
              38, 51, 61, 50, 50, 53, 45, 81, 54, 56, 41, 71, 61, 80, 25, 46, 46, 26, 43, 62, 75, 87, 50, 35, 41, 81)</f>
        <v>51.75</v>
      </c>
    </row>
    <row r="7" spans="1:8" x14ac:dyDescent="0.35">
      <c r="A7" t="s">
        <v>499</v>
      </c>
      <c r="B7" s="5">
        <v>30</v>
      </c>
      <c r="C7" s="5">
        <v>0</v>
      </c>
      <c r="D7" s="5">
        <v>0</v>
      </c>
      <c r="E7" s="5">
        <v>1</v>
      </c>
    </row>
    <row r="8" spans="1:8" x14ac:dyDescent="0.35">
      <c r="A8" t="s">
        <v>474</v>
      </c>
      <c r="B8" s="5">
        <v>46</v>
      </c>
      <c r="C8" s="5">
        <v>0</v>
      </c>
      <c r="D8" s="5">
        <v>1</v>
      </c>
      <c r="E8" s="5">
        <v>0</v>
      </c>
    </row>
    <row r="9" spans="1:8" x14ac:dyDescent="0.35">
      <c r="A9" t="s">
        <v>442</v>
      </c>
      <c r="B9" s="5">
        <v>66</v>
      </c>
      <c r="C9" s="5">
        <v>1</v>
      </c>
      <c r="D9" s="5">
        <v>0</v>
      </c>
      <c r="E9" s="5">
        <v>0</v>
      </c>
    </row>
    <row r="10" spans="1:8" x14ac:dyDescent="0.35">
      <c r="A10" t="s">
        <v>494</v>
      </c>
      <c r="B10" s="5">
        <v>32</v>
      </c>
      <c r="C10" s="5">
        <v>0</v>
      </c>
      <c r="D10" s="5">
        <v>0</v>
      </c>
      <c r="E10" s="5">
        <v>1</v>
      </c>
    </row>
    <row r="11" spans="1:8" x14ac:dyDescent="0.35">
      <c r="A11" t="s">
        <v>497</v>
      </c>
      <c r="B11" s="5">
        <v>31</v>
      </c>
      <c r="C11" s="5">
        <v>0</v>
      </c>
      <c r="D11" s="5">
        <v>0</v>
      </c>
      <c r="E11" s="5">
        <v>1</v>
      </c>
    </row>
    <row r="12" spans="1:8" x14ac:dyDescent="0.35">
      <c r="A12" t="s">
        <v>471</v>
      </c>
      <c r="B12" s="5">
        <v>47</v>
      </c>
      <c r="C12" s="5">
        <v>0</v>
      </c>
      <c r="D12" s="5">
        <v>1</v>
      </c>
      <c r="E12" s="5">
        <v>0</v>
      </c>
    </row>
    <row r="13" spans="1:8" x14ac:dyDescent="0.35">
      <c r="A13" t="s">
        <v>461</v>
      </c>
      <c r="B13" s="5">
        <v>52</v>
      </c>
      <c r="C13" s="5">
        <v>0</v>
      </c>
      <c r="D13" s="5">
        <v>1</v>
      </c>
      <c r="E13" s="5">
        <v>0</v>
      </c>
    </row>
    <row r="14" spans="1:8" x14ac:dyDescent="0.35">
      <c r="A14" t="s">
        <v>440</v>
      </c>
      <c r="B14" s="5">
        <v>70</v>
      </c>
      <c r="C14" s="5">
        <v>1</v>
      </c>
      <c r="D14" s="5">
        <v>0</v>
      </c>
      <c r="E14" s="5">
        <v>0</v>
      </c>
    </row>
    <row r="15" spans="1:8" x14ac:dyDescent="0.35">
      <c r="A15" t="s">
        <v>455</v>
      </c>
      <c r="B15" s="5">
        <v>54</v>
      </c>
      <c r="C15" s="5">
        <v>0</v>
      </c>
      <c r="D15" s="5">
        <v>1</v>
      </c>
      <c r="E15" s="5">
        <v>0</v>
      </c>
    </row>
    <row r="16" spans="1:8" x14ac:dyDescent="0.35">
      <c r="A16" t="s">
        <v>466</v>
      </c>
      <c r="B16" s="5">
        <v>62</v>
      </c>
      <c r="C16" s="5">
        <v>0</v>
      </c>
      <c r="D16" s="5">
        <v>1</v>
      </c>
      <c r="E16" s="5">
        <v>0</v>
      </c>
    </row>
    <row r="17" spans="1:5" x14ac:dyDescent="0.35">
      <c r="A17" t="s">
        <v>481</v>
      </c>
      <c r="B17" s="5">
        <v>42</v>
      </c>
      <c r="C17" s="5">
        <v>0</v>
      </c>
      <c r="D17" s="5">
        <v>1</v>
      </c>
      <c r="E17" s="5">
        <v>0</v>
      </c>
    </row>
    <row r="18" spans="1:5" x14ac:dyDescent="0.35">
      <c r="A18" t="s">
        <v>463</v>
      </c>
      <c r="B18" s="5">
        <v>51</v>
      </c>
      <c r="C18" s="5">
        <v>0</v>
      </c>
      <c r="D18" s="5">
        <v>1</v>
      </c>
      <c r="E18" s="5">
        <v>0</v>
      </c>
    </row>
    <row r="19" spans="1:5" x14ac:dyDescent="0.35">
      <c r="A19" t="s">
        <v>453</v>
      </c>
      <c r="B19" s="5">
        <v>57</v>
      </c>
      <c r="C19" s="5">
        <v>0</v>
      </c>
      <c r="D19" s="5">
        <v>1</v>
      </c>
      <c r="E19" s="5">
        <v>0</v>
      </c>
    </row>
    <row r="20" spans="1:5" x14ac:dyDescent="0.35">
      <c r="A20" t="s">
        <v>428</v>
      </c>
      <c r="B20" s="5">
        <v>77</v>
      </c>
      <c r="C20" s="5">
        <v>1</v>
      </c>
      <c r="D20" s="5">
        <v>0</v>
      </c>
      <c r="E20" s="5">
        <v>0</v>
      </c>
    </row>
    <row r="21" spans="1:5" x14ac:dyDescent="0.35">
      <c r="A21" t="s">
        <v>487</v>
      </c>
      <c r="B21" s="5">
        <v>38</v>
      </c>
      <c r="C21" s="5">
        <v>0</v>
      </c>
      <c r="D21" s="5">
        <v>0</v>
      </c>
      <c r="E21" s="5">
        <v>1</v>
      </c>
    </row>
    <row r="22" spans="1:5" x14ac:dyDescent="0.35">
      <c r="A22" t="s">
        <v>490</v>
      </c>
      <c r="B22" s="5">
        <v>36</v>
      </c>
      <c r="C22" s="5">
        <v>0</v>
      </c>
      <c r="D22" s="5">
        <v>0</v>
      </c>
      <c r="E22" s="5">
        <v>1</v>
      </c>
    </row>
    <row r="23" spans="1:5" x14ac:dyDescent="0.35">
      <c r="A23" t="s">
        <v>449</v>
      </c>
      <c r="B23" s="5">
        <v>61</v>
      </c>
      <c r="C23" s="5">
        <v>0</v>
      </c>
      <c r="D23" s="5">
        <v>1</v>
      </c>
      <c r="E23" s="5">
        <v>0</v>
      </c>
    </row>
    <row r="24" spans="1:5" x14ac:dyDescent="0.35">
      <c r="A24" t="s">
        <v>505</v>
      </c>
      <c r="B24" s="5">
        <v>23</v>
      </c>
      <c r="C24" s="5">
        <v>0</v>
      </c>
      <c r="D24" s="5">
        <v>0</v>
      </c>
      <c r="E24" s="5">
        <v>1</v>
      </c>
    </row>
    <row r="25" spans="1:5" x14ac:dyDescent="0.35">
      <c r="A25" t="s">
        <v>429</v>
      </c>
      <c r="B25" s="5">
        <v>76</v>
      </c>
      <c r="C25" s="5">
        <v>1</v>
      </c>
      <c r="D25" s="5">
        <v>0</v>
      </c>
      <c r="E25" s="5">
        <v>0</v>
      </c>
    </row>
    <row r="26" spans="1:5" x14ac:dyDescent="0.35">
      <c r="A26" t="s">
        <v>439</v>
      </c>
      <c r="B26" s="5">
        <v>70</v>
      </c>
      <c r="C26" s="5">
        <v>1</v>
      </c>
      <c r="D26" s="5">
        <v>0</v>
      </c>
      <c r="E26" s="5">
        <v>0</v>
      </c>
    </row>
    <row r="27" spans="1:5" x14ac:dyDescent="0.35">
      <c r="A27" t="s">
        <v>438</v>
      </c>
      <c r="B27" s="5">
        <v>70</v>
      </c>
      <c r="C27" s="5">
        <v>1</v>
      </c>
      <c r="D27" s="5">
        <v>0</v>
      </c>
      <c r="E27" s="5">
        <v>0</v>
      </c>
    </row>
    <row r="28" spans="1:5" x14ac:dyDescent="0.35">
      <c r="A28" t="s">
        <v>498</v>
      </c>
      <c r="B28" s="5">
        <v>30</v>
      </c>
      <c r="C28" s="5">
        <v>0</v>
      </c>
      <c r="D28" s="5">
        <v>0</v>
      </c>
      <c r="E28" s="5">
        <v>1</v>
      </c>
    </row>
    <row r="29" spans="1:5" x14ac:dyDescent="0.35">
      <c r="A29" t="s">
        <v>460</v>
      </c>
      <c r="B29" s="5">
        <v>52</v>
      </c>
      <c r="C29" s="5">
        <v>0</v>
      </c>
      <c r="D29" s="5">
        <v>1</v>
      </c>
      <c r="E29" s="5">
        <v>0</v>
      </c>
    </row>
    <row r="30" spans="1:5" x14ac:dyDescent="0.35">
      <c r="A30" t="s">
        <v>456</v>
      </c>
      <c r="B30" s="5">
        <v>54</v>
      </c>
      <c r="C30" s="5">
        <v>0</v>
      </c>
      <c r="D30" s="5">
        <v>1</v>
      </c>
      <c r="E30" s="5">
        <v>0</v>
      </c>
    </row>
    <row r="31" spans="1:5" x14ac:dyDescent="0.35">
      <c r="A31" t="s">
        <v>489</v>
      </c>
      <c r="B31" s="5">
        <v>37</v>
      </c>
      <c r="C31" s="5">
        <v>0</v>
      </c>
      <c r="D31" s="5">
        <v>0</v>
      </c>
      <c r="E31" s="5">
        <v>1</v>
      </c>
    </row>
    <row r="32" spans="1:5" x14ac:dyDescent="0.35">
      <c r="A32" t="s">
        <v>484</v>
      </c>
      <c r="B32" s="5">
        <v>39</v>
      </c>
      <c r="C32" s="5">
        <v>0</v>
      </c>
      <c r="D32" s="5">
        <v>0</v>
      </c>
      <c r="E32" s="5">
        <v>1</v>
      </c>
    </row>
    <row r="33" spans="1:5" x14ac:dyDescent="0.35">
      <c r="A33" t="s">
        <v>441</v>
      </c>
      <c r="B33" s="5">
        <v>69</v>
      </c>
      <c r="C33" s="5">
        <v>1</v>
      </c>
      <c r="D33" s="5">
        <v>0</v>
      </c>
      <c r="E33" s="5">
        <v>0</v>
      </c>
    </row>
    <row r="34" spans="1:5" x14ac:dyDescent="0.35">
      <c r="A34" t="s">
        <v>451</v>
      </c>
      <c r="B34" s="5">
        <v>60</v>
      </c>
      <c r="C34" s="5">
        <v>0</v>
      </c>
      <c r="D34" s="5">
        <v>1</v>
      </c>
      <c r="E34" s="5">
        <v>0</v>
      </c>
    </row>
    <row r="35" spans="1:5" x14ac:dyDescent="0.35">
      <c r="A35" t="s">
        <v>432</v>
      </c>
      <c r="B35" s="5">
        <v>75</v>
      </c>
      <c r="C35" s="5">
        <v>1</v>
      </c>
      <c r="D35" s="5">
        <v>0</v>
      </c>
      <c r="E35" s="5">
        <v>0</v>
      </c>
    </row>
    <row r="36" spans="1:5" x14ac:dyDescent="0.35">
      <c r="A36" t="s">
        <v>492</v>
      </c>
      <c r="B36" s="5">
        <v>35</v>
      </c>
      <c r="C36" s="5">
        <v>0</v>
      </c>
      <c r="D36" s="5">
        <v>0</v>
      </c>
      <c r="E36" s="5">
        <v>1</v>
      </c>
    </row>
    <row r="37" spans="1:5" x14ac:dyDescent="0.35">
      <c r="A37" t="s">
        <v>472</v>
      </c>
      <c r="B37" s="5">
        <v>47</v>
      </c>
      <c r="C37" s="5">
        <v>0</v>
      </c>
      <c r="D37" s="5">
        <v>1</v>
      </c>
      <c r="E37" s="5">
        <v>0</v>
      </c>
    </row>
    <row r="38" spans="1:5" x14ac:dyDescent="0.35">
      <c r="A38" t="s">
        <v>496</v>
      </c>
      <c r="B38" s="5">
        <v>31</v>
      </c>
      <c r="C38" s="5">
        <v>0</v>
      </c>
      <c r="D38" s="5">
        <v>0</v>
      </c>
      <c r="E38" s="5">
        <v>1</v>
      </c>
    </row>
    <row r="39" spans="1:5" x14ac:dyDescent="0.35">
      <c r="A39" t="s">
        <v>475</v>
      </c>
      <c r="B39" s="5">
        <v>46</v>
      </c>
      <c r="C39" s="5">
        <v>0</v>
      </c>
      <c r="D39" s="5">
        <v>1</v>
      </c>
      <c r="E39" s="5">
        <v>0</v>
      </c>
    </row>
    <row r="40" spans="1:5" x14ac:dyDescent="0.35">
      <c r="A40" t="s">
        <v>493</v>
      </c>
      <c r="B40" s="5">
        <v>32</v>
      </c>
      <c r="C40" s="5">
        <v>0</v>
      </c>
      <c r="D40" s="5">
        <v>0</v>
      </c>
      <c r="E40" s="5">
        <v>1</v>
      </c>
    </row>
    <row r="41" spans="1:5" x14ac:dyDescent="0.35">
      <c r="A41" t="s">
        <v>452</v>
      </c>
      <c r="B41" s="5">
        <v>58</v>
      </c>
      <c r="C41" s="5">
        <v>0</v>
      </c>
      <c r="D41" s="5">
        <v>1</v>
      </c>
      <c r="E41" s="5">
        <v>0</v>
      </c>
    </row>
    <row r="42" spans="1:5" x14ac:dyDescent="0.35">
      <c r="A42" t="s">
        <v>437</v>
      </c>
      <c r="B42" s="5">
        <v>70</v>
      </c>
      <c r="C42" s="5">
        <v>1</v>
      </c>
      <c r="D42" s="5">
        <v>0</v>
      </c>
      <c r="E42" s="5">
        <v>0</v>
      </c>
    </row>
    <row r="43" spans="1:5" x14ac:dyDescent="0.35">
      <c r="A43" t="s">
        <v>459</v>
      </c>
      <c r="B43" s="5">
        <v>53</v>
      </c>
      <c r="C43" s="5">
        <v>0</v>
      </c>
      <c r="D43" s="5">
        <v>1</v>
      </c>
      <c r="E43" s="5">
        <v>0</v>
      </c>
    </row>
    <row r="44" spans="1:5" x14ac:dyDescent="0.35">
      <c r="A44" t="s">
        <v>480</v>
      </c>
      <c r="B44" s="5">
        <v>43</v>
      </c>
      <c r="C44" s="5">
        <v>0</v>
      </c>
      <c r="D44" s="5">
        <v>1</v>
      </c>
      <c r="E44" s="5">
        <v>0</v>
      </c>
    </row>
    <row r="45" spans="1:5" x14ac:dyDescent="0.35">
      <c r="A45" t="s">
        <v>486</v>
      </c>
      <c r="B45" s="5">
        <v>38</v>
      </c>
      <c r="C45" s="5">
        <v>0</v>
      </c>
      <c r="D45" s="5">
        <v>0</v>
      </c>
      <c r="E45" s="5">
        <v>1</v>
      </c>
    </row>
    <row r="46" spans="1:5" x14ac:dyDescent="0.35">
      <c r="A46" t="s">
        <v>500</v>
      </c>
      <c r="B46" s="5">
        <v>28</v>
      </c>
      <c r="C46" s="5">
        <v>0</v>
      </c>
      <c r="D46" s="5">
        <v>0</v>
      </c>
      <c r="E46" s="5">
        <v>1</v>
      </c>
    </row>
    <row r="47" spans="1:5" x14ac:dyDescent="0.35">
      <c r="A47" t="s">
        <v>430</v>
      </c>
      <c r="B47" s="5">
        <v>75</v>
      </c>
      <c r="C47" s="5">
        <v>1</v>
      </c>
      <c r="D47" s="5">
        <v>0</v>
      </c>
      <c r="E47" s="5">
        <v>0</v>
      </c>
    </row>
    <row r="48" spans="1:5" x14ac:dyDescent="0.35">
      <c r="A48" t="s">
        <v>435</v>
      </c>
      <c r="B48" s="5">
        <v>72</v>
      </c>
      <c r="C48" s="5">
        <v>1</v>
      </c>
      <c r="D48" s="5">
        <v>0</v>
      </c>
      <c r="E48" s="5">
        <v>0</v>
      </c>
    </row>
    <row r="49" spans="1:5" x14ac:dyDescent="0.35">
      <c r="A49" t="s">
        <v>502</v>
      </c>
      <c r="B49" s="5">
        <v>27</v>
      </c>
      <c r="C49" s="5">
        <v>0</v>
      </c>
      <c r="D49" s="5">
        <v>0</v>
      </c>
      <c r="E49" s="5">
        <v>1</v>
      </c>
    </row>
    <row r="50" spans="1:5" x14ac:dyDescent="0.35">
      <c r="A50" t="s">
        <v>433</v>
      </c>
      <c r="B50" s="5">
        <v>73</v>
      </c>
      <c r="C50" s="5">
        <v>1</v>
      </c>
      <c r="D50" s="5">
        <v>0</v>
      </c>
      <c r="E50" s="5">
        <v>0</v>
      </c>
    </row>
    <row r="51" spans="1:5" x14ac:dyDescent="0.35">
      <c r="A51" t="s">
        <v>470</v>
      </c>
      <c r="B51" s="5">
        <v>48</v>
      </c>
      <c r="C51" s="5">
        <v>0</v>
      </c>
      <c r="D51" s="5">
        <v>1</v>
      </c>
      <c r="E51" s="5">
        <v>0</v>
      </c>
    </row>
    <row r="52" spans="1:5" x14ac:dyDescent="0.35">
      <c r="A52" t="s">
        <v>501</v>
      </c>
      <c r="B52" s="5">
        <v>28</v>
      </c>
      <c r="C52" s="5">
        <v>0</v>
      </c>
      <c r="D52" s="5">
        <v>0</v>
      </c>
      <c r="E52" s="5">
        <v>1</v>
      </c>
    </row>
    <row r="53" spans="1:5" x14ac:dyDescent="0.35">
      <c r="A53" t="s">
        <v>488</v>
      </c>
      <c r="B53" s="5">
        <v>37</v>
      </c>
      <c r="C53" s="5">
        <v>0</v>
      </c>
      <c r="D53" s="5">
        <v>0</v>
      </c>
      <c r="E53" s="5">
        <v>1</v>
      </c>
    </row>
    <row r="54" spans="1:5" x14ac:dyDescent="0.35">
      <c r="A54" t="s">
        <v>485</v>
      </c>
      <c r="B54" s="5">
        <v>38</v>
      </c>
      <c r="C54" s="5">
        <v>0</v>
      </c>
      <c r="D54" s="5">
        <v>0</v>
      </c>
      <c r="E54" s="5">
        <v>1</v>
      </c>
    </row>
    <row r="55" spans="1:5" x14ac:dyDescent="0.35">
      <c r="A55" t="s">
        <v>464</v>
      </c>
      <c r="B55" s="5">
        <v>51</v>
      </c>
      <c r="C55" s="5">
        <v>0</v>
      </c>
      <c r="D55" s="5">
        <v>1</v>
      </c>
      <c r="E55" s="5">
        <v>0</v>
      </c>
    </row>
    <row r="56" spans="1:5" x14ac:dyDescent="0.35">
      <c r="A56" t="s">
        <v>450</v>
      </c>
      <c r="B56" s="5">
        <v>61</v>
      </c>
      <c r="C56" s="5">
        <v>0</v>
      </c>
      <c r="D56" s="5">
        <v>1</v>
      </c>
      <c r="E56" s="5">
        <v>0</v>
      </c>
    </row>
    <row r="57" spans="1:5" x14ac:dyDescent="0.35">
      <c r="A57" t="s">
        <v>468</v>
      </c>
      <c r="B57" s="5">
        <v>50</v>
      </c>
      <c r="C57" s="5">
        <v>0</v>
      </c>
      <c r="D57" s="5">
        <v>1</v>
      </c>
      <c r="E57" s="5">
        <v>0</v>
      </c>
    </row>
    <row r="58" spans="1:5" x14ac:dyDescent="0.35">
      <c r="A58" t="s">
        <v>469</v>
      </c>
      <c r="B58" s="5">
        <v>50</v>
      </c>
      <c r="C58" s="5">
        <v>0</v>
      </c>
      <c r="D58" s="5">
        <v>1</v>
      </c>
      <c r="E58" s="5">
        <v>0</v>
      </c>
    </row>
    <row r="59" spans="1:5" x14ac:dyDescent="0.35">
      <c r="A59" t="s">
        <v>458</v>
      </c>
      <c r="B59" s="5">
        <v>53</v>
      </c>
      <c r="C59" s="5">
        <v>0</v>
      </c>
      <c r="D59" s="5">
        <v>1</v>
      </c>
      <c r="E59" s="5">
        <v>0</v>
      </c>
    </row>
    <row r="60" spans="1:5" x14ac:dyDescent="0.35">
      <c r="A60" t="s">
        <v>478</v>
      </c>
      <c r="B60" s="5">
        <v>45</v>
      </c>
      <c r="C60" s="5">
        <v>0</v>
      </c>
      <c r="D60" s="5">
        <v>1</v>
      </c>
      <c r="E60" s="5">
        <v>0</v>
      </c>
    </row>
    <row r="61" spans="1:5" x14ac:dyDescent="0.35">
      <c r="A61" t="s">
        <v>426</v>
      </c>
      <c r="B61" s="5">
        <v>81</v>
      </c>
      <c r="C61" s="5">
        <v>1</v>
      </c>
      <c r="D61" s="5">
        <v>0</v>
      </c>
      <c r="E61" s="5">
        <v>0</v>
      </c>
    </row>
    <row r="62" spans="1:5" x14ac:dyDescent="0.35">
      <c r="A62" t="s">
        <v>457</v>
      </c>
      <c r="B62" s="5">
        <v>54</v>
      </c>
      <c r="C62" s="5">
        <v>0</v>
      </c>
      <c r="D62" s="5">
        <v>1</v>
      </c>
      <c r="E62" s="5">
        <v>0</v>
      </c>
    </row>
    <row r="63" spans="1:5" x14ac:dyDescent="0.35">
      <c r="A63" t="s">
        <v>454</v>
      </c>
      <c r="B63" s="5">
        <v>56</v>
      </c>
      <c r="C63" s="5">
        <v>0</v>
      </c>
      <c r="D63" s="5">
        <v>1</v>
      </c>
      <c r="E63" s="5">
        <v>0</v>
      </c>
    </row>
    <row r="64" spans="1:5" x14ac:dyDescent="0.35">
      <c r="A64" t="s">
        <v>483</v>
      </c>
      <c r="B64" s="5">
        <v>41</v>
      </c>
      <c r="C64" s="5">
        <v>0</v>
      </c>
      <c r="D64" s="5">
        <v>1</v>
      </c>
      <c r="E64" s="5">
        <v>0</v>
      </c>
    </row>
    <row r="65" spans="1:5" x14ac:dyDescent="0.35">
      <c r="A65" t="s">
        <v>436</v>
      </c>
      <c r="B65" s="5">
        <v>71</v>
      </c>
      <c r="C65" s="5">
        <v>1</v>
      </c>
      <c r="D65" s="5">
        <v>0</v>
      </c>
      <c r="E65" s="5">
        <v>0</v>
      </c>
    </row>
    <row r="66" spans="1:5" x14ac:dyDescent="0.35">
      <c r="A66" t="s">
        <v>448</v>
      </c>
      <c r="B66" s="5">
        <v>61</v>
      </c>
      <c r="C66" s="5">
        <v>0</v>
      </c>
      <c r="D66" s="5">
        <v>1</v>
      </c>
      <c r="E66" s="5">
        <v>0</v>
      </c>
    </row>
    <row r="67" spans="1:5" x14ac:dyDescent="0.35">
      <c r="A67" t="s">
        <v>427</v>
      </c>
      <c r="B67" s="5">
        <v>80</v>
      </c>
      <c r="C67" s="5">
        <v>1</v>
      </c>
      <c r="D67" s="5">
        <v>0</v>
      </c>
      <c r="E67" s="5">
        <v>0</v>
      </c>
    </row>
    <row r="68" spans="1:5" x14ac:dyDescent="0.35">
      <c r="A68" t="s">
        <v>504</v>
      </c>
      <c r="B68" s="5">
        <v>25</v>
      </c>
      <c r="C68" s="5">
        <v>0</v>
      </c>
      <c r="D68" s="5">
        <v>0</v>
      </c>
      <c r="E68" s="5">
        <v>1</v>
      </c>
    </row>
    <row r="69" spans="1:5" x14ac:dyDescent="0.35">
      <c r="A69" t="s">
        <v>473</v>
      </c>
      <c r="B69" s="5">
        <v>46</v>
      </c>
      <c r="C69" s="5">
        <v>0</v>
      </c>
      <c r="D69" s="5">
        <v>1</v>
      </c>
      <c r="E69" s="5">
        <v>0</v>
      </c>
    </row>
    <row r="70" spans="1:5" x14ac:dyDescent="0.35">
      <c r="A70" t="s">
        <v>476</v>
      </c>
      <c r="B70" s="5">
        <v>46</v>
      </c>
      <c r="C70" s="5">
        <v>0</v>
      </c>
      <c r="D70" s="5">
        <v>1</v>
      </c>
      <c r="E70" s="5">
        <v>0</v>
      </c>
    </row>
    <row r="71" spans="1:5" x14ac:dyDescent="0.35">
      <c r="A71" t="s">
        <v>503</v>
      </c>
      <c r="B71" s="5">
        <v>26</v>
      </c>
      <c r="C71" s="5">
        <v>0</v>
      </c>
      <c r="D71" s="5">
        <v>0</v>
      </c>
      <c r="E71" s="5">
        <v>1</v>
      </c>
    </row>
    <row r="72" spans="1:5" x14ac:dyDescent="0.35">
      <c r="A72" t="s">
        <v>479</v>
      </c>
      <c r="B72" s="5">
        <v>43</v>
      </c>
      <c r="C72" s="5">
        <v>0</v>
      </c>
      <c r="D72" s="5">
        <v>1</v>
      </c>
      <c r="E72" s="5">
        <v>0</v>
      </c>
    </row>
    <row r="73" spans="1:5" x14ac:dyDescent="0.35">
      <c r="A73" t="s">
        <v>465</v>
      </c>
      <c r="B73" s="5">
        <v>62</v>
      </c>
      <c r="C73" s="5">
        <v>0</v>
      </c>
      <c r="D73" s="5">
        <v>1</v>
      </c>
      <c r="E73" s="5">
        <v>0</v>
      </c>
    </row>
    <row r="74" spans="1:5" x14ac:dyDescent="0.35">
      <c r="A74" t="s">
        <v>431</v>
      </c>
      <c r="B74" s="5">
        <v>75</v>
      </c>
      <c r="C74" s="5">
        <v>1</v>
      </c>
      <c r="D74" s="5">
        <v>0</v>
      </c>
      <c r="E74" s="5">
        <v>0</v>
      </c>
    </row>
    <row r="75" spans="1:5" x14ac:dyDescent="0.35">
      <c r="A75" t="s">
        <v>425</v>
      </c>
      <c r="B75" s="5">
        <v>87</v>
      </c>
      <c r="C75" s="5">
        <v>1</v>
      </c>
      <c r="D75" s="5">
        <v>0</v>
      </c>
      <c r="E75" s="5">
        <v>0</v>
      </c>
    </row>
    <row r="76" spans="1:5" x14ac:dyDescent="0.35">
      <c r="A76" t="s">
        <v>467</v>
      </c>
      <c r="B76" s="5">
        <v>50</v>
      </c>
      <c r="C76" s="5">
        <v>0</v>
      </c>
      <c r="D76" s="5">
        <v>1</v>
      </c>
      <c r="E76" s="5">
        <v>0</v>
      </c>
    </row>
    <row r="77" spans="1:5" x14ac:dyDescent="0.35">
      <c r="A77" t="s">
        <v>491</v>
      </c>
      <c r="B77" s="5">
        <v>35</v>
      </c>
      <c r="C77" s="5">
        <v>0</v>
      </c>
      <c r="D77" s="5">
        <v>0</v>
      </c>
      <c r="E77" s="5">
        <v>1</v>
      </c>
    </row>
    <row r="78" spans="1:5" x14ac:dyDescent="0.35">
      <c r="A78" t="s">
        <v>482</v>
      </c>
      <c r="B78" s="5">
        <v>41</v>
      </c>
      <c r="C78" s="5">
        <v>0</v>
      </c>
      <c r="D78" s="5">
        <v>1</v>
      </c>
      <c r="E78" s="5">
        <v>0</v>
      </c>
    </row>
    <row r="79" spans="1:5" x14ac:dyDescent="0.35">
      <c r="A79" t="s">
        <v>506</v>
      </c>
      <c r="B79" s="5">
        <v>81</v>
      </c>
      <c r="C79" s="5">
        <v>1</v>
      </c>
      <c r="D79" s="5">
        <v>0</v>
      </c>
      <c r="E79" s="5">
        <v>0</v>
      </c>
    </row>
  </sheetData>
  <sortState xmlns:xlrd2="http://schemas.microsoft.com/office/spreadsheetml/2017/richdata2" ref="A2:E79">
    <sortCondition ref="A2:A79"/>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Huawei GCI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Ferran Vendrell-Herrero</dc:creator>
  <cp:lastModifiedBy>Ferran Vendrell-Herrero</cp:lastModifiedBy>
  <dcterms:created xsi:type="dcterms:W3CDTF">2024-09-06T10:07:27Z</dcterms:created>
  <dcterms:modified xsi:type="dcterms:W3CDTF">2026-06-02T09:01:15Z</dcterms:modified>
</cp:coreProperties>
</file>